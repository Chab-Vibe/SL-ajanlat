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"/>
    </mc:Choice>
  </mc:AlternateContent>
  <xr:revisionPtr revIDLastSave="0" documentId="13_ncr:1_{7AC64002-612F-42C8-A8CC-5F945F287B9C}" xr6:coauthVersionLast="47" xr6:coauthVersionMax="47" xr10:uidLastSave="{00000000-0000-0000-0000-000000000000}"/>
  <bookViews>
    <workbookView xWindow="-120" yWindow="-120" windowWidth="29040" windowHeight="15840" activeTab="2" xr2:uid="{093F1070-5198-466E-A2D6-906F7BAF0692}"/>
  </bookViews>
  <sheets>
    <sheet name="Horganyzott 33-as" sheetId="4" r:id="rId1"/>
    <sheet name="Horganyzott 25-ös" sheetId="5" r:id="rId2"/>
    <sheet name="Fényes 33-as" sheetId="1" r:id="rId3"/>
    <sheet name="Fényes 25-ös" sheetId="3" r:id="rId4"/>
    <sheet name="MAT 33-as" sheetId="6" r:id="rId5"/>
    <sheet name="MAT 25-ös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2" l="1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F9" i="2"/>
  <c r="F10" i="1"/>
  <c r="H10" i="1" s="1"/>
  <c r="F16" i="1"/>
  <c r="H16" i="1" s="1"/>
  <c r="F10" i="3"/>
  <c r="H10" i="3" s="1"/>
  <c r="F16" i="3"/>
  <c r="H16" i="3" s="1"/>
  <c r="F10" i="4"/>
  <c r="H10" i="4" s="1"/>
  <c r="F16" i="4"/>
  <c r="H16" i="4" s="1"/>
  <c r="F10" i="5"/>
  <c r="H10" i="5" s="1"/>
  <c r="F14" i="5"/>
  <c r="H14" i="5" s="1"/>
  <c r="F16" i="5"/>
  <c r="H16" i="5" s="1"/>
  <c r="F10" i="6"/>
  <c r="H10" i="6" s="1"/>
  <c r="F16" i="6"/>
  <c r="H16" i="6" s="1"/>
  <c r="F27" i="6"/>
  <c r="H27" i="6" s="1"/>
  <c r="F26" i="6"/>
  <c r="H26" i="6" s="1"/>
  <c r="F25" i="6"/>
  <c r="H25" i="6" s="1"/>
  <c r="F24" i="6"/>
  <c r="H24" i="6" s="1"/>
  <c r="F23" i="6"/>
  <c r="H23" i="6" s="1"/>
  <c r="F22" i="6"/>
  <c r="H22" i="6" s="1"/>
  <c r="F21" i="6"/>
  <c r="H21" i="6" s="1"/>
  <c r="F20" i="6"/>
  <c r="H20" i="6" s="1"/>
  <c r="F19" i="6"/>
  <c r="H19" i="6" s="1"/>
  <c r="F18" i="6"/>
  <c r="H18" i="6" s="1"/>
  <c r="F17" i="6"/>
  <c r="H17" i="6" s="1"/>
  <c r="F15" i="6"/>
  <c r="H15" i="6" s="1"/>
  <c r="F14" i="6"/>
  <c r="H14" i="6" s="1"/>
  <c r="F13" i="6"/>
  <c r="H13" i="6" s="1"/>
  <c r="F12" i="6"/>
  <c r="H12" i="6" s="1"/>
  <c r="F11" i="6"/>
  <c r="H11" i="6" s="1"/>
  <c r="F9" i="6"/>
  <c r="F27" i="5"/>
  <c r="H27" i="5" s="1"/>
  <c r="F26" i="5"/>
  <c r="H26" i="5" s="1"/>
  <c r="F25" i="5"/>
  <c r="H25" i="5" s="1"/>
  <c r="F24" i="5"/>
  <c r="H24" i="5" s="1"/>
  <c r="F23" i="5"/>
  <c r="H23" i="5" s="1"/>
  <c r="F22" i="5"/>
  <c r="H22" i="5" s="1"/>
  <c r="F21" i="5"/>
  <c r="H21" i="5" s="1"/>
  <c r="F20" i="5"/>
  <c r="H20" i="5" s="1"/>
  <c r="F19" i="5"/>
  <c r="H19" i="5" s="1"/>
  <c r="F18" i="5"/>
  <c r="H18" i="5" s="1"/>
  <c r="F17" i="5"/>
  <c r="H17" i="5" s="1"/>
  <c r="F15" i="5"/>
  <c r="H15" i="5" s="1"/>
  <c r="F13" i="5"/>
  <c r="H13" i="5" s="1"/>
  <c r="F12" i="5"/>
  <c r="H12" i="5" s="1"/>
  <c r="F11" i="5"/>
  <c r="H11" i="5" s="1"/>
  <c r="F9" i="5"/>
  <c r="H9" i="5" s="1"/>
  <c r="F27" i="4"/>
  <c r="H27" i="4" s="1"/>
  <c r="F26" i="4"/>
  <c r="H26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5" i="4"/>
  <c r="H15" i="4" s="1"/>
  <c r="F14" i="4"/>
  <c r="H14" i="4" s="1"/>
  <c r="F13" i="4"/>
  <c r="H13" i="4" s="1"/>
  <c r="F12" i="4"/>
  <c r="H12" i="4" s="1"/>
  <c r="F11" i="4"/>
  <c r="H11" i="4" s="1"/>
  <c r="F9" i="4"/>
  <c r="F27" i="3"/>
  <c r="H27" i="3" s="1"/>
  <c r="F26" i="3"/>
  <c r="H26" i="3" s="1"/>
  <c r="F25" i="3"/>
  <c r="H25" i="3" s="1"/>
  <c r="F24" i="3"/>
  <c r="H24" i="3" s="1"/>
  <c r="F23" i="3"/>
  <c r="H23" i="3" s="1"/>
  <c r="F22" i="3"/>
  <c r="H22" i="3" s="1"/>
  <c r="F21" i="3"/>
  <c r="H21" i="3" s="1"/>
  <c r="F20" i="3"/>
  <c r="H20" i="3" s="1"/>
  <c r="F19" i="3"/>
  <c r="H19" i="3" s="1"/>
  <c r="F18" i="3"/>
  <c r="H18" i="3" s="1"/>
  <c r="F17" i="3"/>
  <c r="H17" i="3" s="1"/>
  <c r="F15" i="3"/>
  <c r="H15" i="3" s="1"/>
  <c r="F14" i="3"/>
  <c r="H14" i="3" s="1"/>
  <c r="F13" i="3"/>
  <c r="H13" i="3" s="1"/>
  <c r="F12" i="3"/>
  <c r="H12" i="3" s="1"/>
  <c r="F11" i="3"/>
  <c r="H11" i="3" s="1"/>
  <c r="F9" i="3"/>
  <c r="H9" i="3" s="1"/>
  <c r="F26" i="1"/>
  <c r="H26" i="1" s="1"/>
  <c r="F25" i="1"/>
  <c r="H25" i="1" s="1"/>
  <c r="F22" i="1"/>
  <c r="H22" i="1" s="1"/>
  <c r="F23" i="1"/>
  <c r="H23" i="1" s="1"/>
  <c r="F17" i="1"/>
  <c r="H17" i="1" s="1"/>
  <c r="F18" i="1"/>
  <c r="H18" i="1" s="1"/>
  <c r="F19" i="1"/>
  <c r="H19" i="1" s="1"/>
  <c r="F20" i="1"/>
  <c r="H20" i="1" s="1"/>
  <c r="F21" i="1"/>
  <c r="H21" i="1" s="1"/>
  <c r="F24" i="1"/>
  <c r="H24" i="1" s="1"/>
  <c r="F27" i="1"/>
  <c r="H27" i="1" s="1"/>
  <c r="F15" i="1"/>
  <c r="H15" i="1" s="1"/>
  <c r="F14" i="1"/>
  <c r="H14" i="1" s="1"/>
  <c r="F13" i="1"/>
  <c r="H13" i="1" s="1"/>
  <c r="F12" i="1"/>
  <c r="H12" i="1" s="1"/>
  <c r="F11" i="1"/>
  <c r="H11" i="1" s="1"/>
  <c r="F9" i="1"/>
  <c r="H9" i="1" s="1"/>
  <c r="F28" i="5" l="1"/>
  <c r="F28" i="2"/>
  <c r="H9" i="2"/>
  <c r="H28" i="2" s="1"/>
  <c r="F28" i="6"/>
  <c r="H9" i="6"/>
  <c r="H28" i="6" s="1"/>
  <c r="H28" i="5"/>
  <c r="F28" i="4"/>
  <c r="H9" i="4"/>
  <c r="H28" i="4" s="1"/>
  <c r="H28" i="3"/>
  <c r="F28" i="3"/>
  <c r="H28" i="1"/>
  <c r="F28" i="1"/>
</calcChain>
</file>

<file path=xl/sharedStrings.xml><?xml version="1.0" encoding="utf-8"?>
<sst xmlns="http://schemas.openxmlformats.org/spreadsheetml/2006/main" count="244" uniqueCount="45">
  <si>
    <t>Nettó egységár</t>
  </si>
  <si>
    <t>Nettó összeg</t>
  </si>
  <si>
    <t>Bruttó összeg</t>
  </si>
  <si>
    <t>Eresz</t>
  </si>
  <si>
    <t>Szeglet</t>
  </si>
  <si>
    <t>Véglemez</t>
  </si>
  <si>
    <t>Üst</t>
  </si>
  <si>
    <t>Hattyúnyak</t>
  </si>
  <si>
    <t>Lefolyó (2m)</t>
  </si>
  <si>
    <t>Bilincs</t>
  </si>
  <si>
    <t>Kiköpő</t>
  </si>
  <si>
    <t>Összesen</t>
  </si>
  <si>
    <t>Csatorna árajánlat</t>
  </si>
  <si>
    <t>Csatornavas Csavart</t>
  </si>
  <si>
    <t>Csatornavas Hajlított</t>
  </si>
  <si>
    <t>Csatornavas Szár nélküli</t>
  </si>
  <si>
    <t>Csatornarendszer</t>
  </si>
  <si>
    <t>szín</t>
  </si>
  <si>
    <t>méret</t>
  </si>
  <si>
    <t>Dísz</t>
  </si>
  <si>
    <t>Ív</t>
  </si>
  <si>
    <t>Vízlopó</t>
  </si>
  <si>
    <t>Y elégazás</t>
  </si>
  <si>
    <t>Szegecs</t>
  </si>
  <si>
    <t>Szilóplast</t>
  </si>
  <si>
    <r>
      <t xml:space="preserve">A mai napon </t>
    </r>
    <r>
      <rPr>
        <sz val="11"/>
        <color theme="1"/>
        <rFont val="Calibri"/>
        <family val="2"/>
        <charset val="238"/>
        <scheme val="minor"/>
      </rPr>
      <t>……………………….…….</t>
    </r>
    <r>
      <rPr>
        <b/>
        <sz val="11"/>
        <color theme="1"/>
        <rFont val="Calibri"/>
        <family val="2"/>
        <charset val="238"/>
        <scheme val="minor"/>
      </rPr>
      <t xml:space="preserve"> A fenti megrendelőtől </t>
    </r>
    <r>
      <rPr>
        <sz val="11"/>
        <color theme="1"/>
        <rFont val="Calibri"/>
        <family val="2"/>
        <charset val="238"/>
        <scheme val="minor"/>
      </rPr>
      <t xml:space="preserve">……………...……………….. </t>
    </r>
    <r>
      <rPr>
        <b/>
        <sz val="11"/>
        <color theme="1"/>
        <rFont val="Calibri"/>
        <family val="2"/>
        <charset val="238"/>
        <scheme val="minor"/>
      </rPr>
      <t xml:space="preserve">Ft azaz, </t>
    </r>
    <r>
      <rPr>
        <sz val="11"/>
        <color theme="1"/>
        <rFont val="Calibri"/>
        <family val="2"/>
        <charset val="238"/>
        <scheme val="minor"/>
      </rPr>
      <t xml:space="preserve">(………………………………………………………) </t>
    </r>
    <r>
      <rPr>
        <b/>
        <sz val="11"/>
        <color theme="1"/>
        <rFont val="Calibri"/>
        <family val="2"/>
        <charset val="238"/>
        <scheme val="minor"/>
      </rPr>
      <t>előleget átvettem!</t>
    </r>
  </si>
  <si>
    <t>Nyitva tartás:</t>
  </si>
  <si>
    <t>ÁRUKIADÁS:</t>
  </si>
  <si>
    <t>Hétfőtől - Péntekig 7:30 - 16:30</t>
  </si>
  <si>
    <r>
      <t xml:space="preserve">Hétfőtől - Péntekig 7:30 - </t>
    </r>
    <r>
      <rPr>
        <b/>
        <sz val="11"/>
        <color rgb="FFC00000"/>
        <rFont val="Calibri"/>
        <family val="2"/>
        <charset val="238"/>
        <scheme val="minor"/>
      </rPr>
      <t>16:00</t>
    </r>
  </si>
  <si>
    <t>Átvevő:</t>
  </si>
  <si>
    <t>Szombat 7:30 - 12:30</t>
  </si>
  <si>
    <r>
      <t xml:space="preserve">Szombat 7:30 - </t>
    </r>
    <r>
      <rPr>
        <b/>
        <sz val="11"/>
        <color rgb="FFC00000"/>
        <rFont val="Calibri"/>
        <family val="2"/>
        <charset val="238"/>
        <scheme val="minor"/>
      </rPr>
      <t>12:00</t>
    </r>
  </si>
  <si>
    <t xml:space="preserve"> +36-30/203-07-19
 +36-30/326-73-33
 +36-30/203-09-19
 +36-30/092-47-47</t>
  </si>
  <si>
    <t>Telefonszámaink:</t>
  </si>
  <si>
    <t>…...........................................</t>
  </si>
  <si>
    <t>Horganyzott</t>
  </si>
  <si>
    <t>MAT 7016</t>
  </si>
  <si>
    <t>Név:</t>
  </si>
  <si>
    <t>Telefonszám:</t>
  </si>
  <si>
    <t>Szállítási cím:</t>
  </si>
  <si>
    <t>33-as</t>
  </si>
  <si>
    <r>
      <t xml:space="preserve">A mai napon </t>
    </r>
    <r>
      <rPr>
        <sz val="11"/>
        <color theme="1"/>
        <rFont val="Calibri"/>
        <family val="2"/>
        <charset val="238"/>
        <scheme val="minor"/>
      </rPr>
      <t>……………………….…….</t>
    </r>
    <r>
      <rPr>
        <b/>
        <sz val="11"/>
        <color theme="1"/>
        <rFont val="Calibri"/>
        <family val="2"/>
        <charset val="238"/>
        <scheme val="minor"/>
      </rPr>
      <t xml:space="preserve"> A fenti megrendelőtől </t>
    </r>
    <r>
      <rPr>
        <sz val="11"/>
        <color theme="1"/>
        <rFont val="Calibri"/>
        <family val="2"/>
        <charset val="238"/>
        <scheme val="minor"/>
      </rPr>
      <t xml:space="preserve">……………...……………….. </t>
    </r>
    <r>
      <rPr>
        <b/>
        <sz val="11"/>
        <color theme="1"/>
        <rFont val="Calibri"/>
        <family val="2"/>
        <charset val="238"/>
        <scheme val="minor"/>
      </rPr>
      <t xml:space="preserve">Ft azaz, </t>
    </r>
    <r>
      <rPr>
        <sz val="11"/>
        <color theme="1"/>
        <rFont val="Calibri"/>
        <family val="2"/>
        <charset val="238"/>
        <scheme val="minor"/>
      </rPr>
      <t xml:space="preserve">(………………………………………………………) </t>
    </r>
    <r>
      <rPr>
        <b/>
        <sz val="11"/>
        <color theme="1"/>
        <rFont val="Calibri"/>
        <family val="2"/>
        <charset val="238"/>
        <scheme val="minor"/>
      </rPr>
      <t>összeget átvettem!</t>
    </r>
  </si>
  <si>
    <t>25-ös</t>
  </si>
  <si>
    <t>MATT 7016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</si>
</sst>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Ft&quot;"/>
    <numFmt numFmtId="165" formatCode="General&quot; m&quot;"/>
    <numFmt numFmtId="166" formatCode="General&quot; db&quot;"/>
  </numFmts>
  <fonts count="20" x14ac:knownFonts="1"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 tint="0.34998626667073579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color theme="3"/>
      <name val="Calibri"/>
      <family val="2"/>
      <charset val="238"/>
      <scheme val="minor"/>
    </font>
    <font>
      <b/>
      <sz val="20"/>
      <color theme="1"/>
      <name val="Bookman Old Style"/>
      <family val="1"/>
      <charset val="238"/>
    </font>
    <font>
      <b/>
      <sz val="16"/>
      <color theme="1" tint="0.34998626667073579"/>
      <name val="Calibri"/>
      <family val="2"/>
      <charset val="238"/>
      <scheme val="minor"/>
    </font>
    <font>
      <b/>
      <sz val="12"/>
      <color theme="1" tint="0.34998626667073579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u/>
      <sz val="12"/>
      <color rgb="FFC00000"/>
      <name val="Calibri"/>
      <family val="2"/>
      <charset val="238"/>
      <scheme val="minor"/>
    </font>
    <font>
      <b/>
      <u/>
      <sz val="12"/>
      <color theme="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8E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7E0000"/>
      </bottom>
      <diagonal/>
    </border>
    <border>
      <left/>
      <right style="medium">
        <color rgb="FF7E0000"/>
      </right>
      <top/>
      <bottom style="thin">
        <color rgb="FF7E0000"/>
      </bottom>
      <diagonal/>
    </border>
    <border>
      <left/>
      <right/>
      <top style="thin">
        <color rgb="FF7E0000"/>
      </top>
      <bottom style="thin">
        <color rgb="FF7E0000"/>
      </bottom>
      <diagonal/>
    </border>
    <border>
      <left/>
      <right style="medium">
        <color rgb="FF7E0000"/>
      </right>
      <top style="thin">
        <color rgb="FF7E0000"/>
      </top>
      <bottom style="thin">
        <color rgb="FF7E0000"/>
      </bottom>
      <diagonal/>
    </border>
    <border>
      <left style="medium">
        <color rgb="FF7E0000"/>
      </left>
      <right/>
      <top style="thin">
        <color rgb="FF7E0000"/>
      </top>
      <bottom style="thin">
        <color rgb="FF7E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0" borderId="0"/>
  </cellStyleXfs>
  <cellXfs count="59">
    <xf numFmtId="0" fontId="0" fillId="0" borderId="0" xfId="0"/>
    <xf numFmtId="0" fontId="5" fillId="0" borderId="0" xfId="4"/>
    <xf numFmtId="164" fontId="6" fillId="0" borderId="4" xfId="2" applyNumberFormat="1" applyFont="1" applyBorder="1" applyAlignment="1">
      <alignment horizontal="center" vertical="center"/>
    </xf>
    <xf numFmtId="164" fontId="2" fillId="0" borderId="4" xfId="2" applyNumberFormat="1" applyBorder="1" applyAlignment="1"/>
    <xf numFmtId="0" fontId="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3" fillId="0" borderId="0" xfId="0" applyFont="1"/>
    <xf numFmtId="164" fontId="2" fillId="0" borderId="0" xfId="2" applyNumberFormat="1" applyBorder="1" applyAlignment="1"/>
    <xf numFmtId="0" fontId="10" fillId="0" borderId="15" xfId="3" applyFont="1" applyBorder="1" applyAlignment="1">
      <alignment horizontal="center" vertical="center"/>
    </xf>
    <xf numFmtId="0" fontId="9" fillId="0" borderId="19" xfId="1" applyFont="1" applyBorder="1" applyAlignment="1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/>
    <xf numFmtId="0" fontId="18" fillId="0" borderId="0" xfId="0" applyFont="1" applyAlignment="1">
      <alignment horizontal="right"/>
    </xf>
    <xf numFmtId="0" fontId="19" fillId="0" borderId="0" xfId="0" applyFont="1"/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5" fillId="0" borderId="10" xfId="4" applyBorder="1" applyAlignment="1">
      <alignment horizontal="center"/>
    </xf>
    <xf numFmtId="164" fontId="6" fillId="0" borderId="4" xfId="2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165" fontId="2" fillId="0" borderId="4" xfId="2" applyNumberFormat="1" applyBorder="1" applyAlignment="1">
      <alignment horizontal="center"/>
    </xf>
    <xf numFmtId="164" fontId="2" fillId="0" borderId="4" xfId="2" applyNumberForma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166" fontId="2" fillId="0" borderId="4" xfId="2" applyNumberFormat="1" applyBorder="1" applyAlignment="1">
      <alignment horizontal="center"/>
    </xf>
    <xf numFmtId="164" fontId="2" fillId="0" borderId="0" xfId="2" applyNumberFormat="1" applyBorder="1" applyAlignment="1">
      <alignment horizontal="center"/>
    </xf>
    <xf numFmtId="164" fontId="2" fillId="0" borderId="6" xfId="2" applyNumberFormat="1" applyBorder="1" applyAlignment="1">
      <alignment horizont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/>
    </xf>
    <xf numFmtId="0" fontId="8" fillId="2" borderId="20" xfId="1" applyFont="1" applyFill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18" fillId="0" borderId="10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2" fillId="3" borderId="0" xfId="0" applyFont="1" applyFill="1" applyAlignment="1">
      <alignment horizontal="center" wrapText="1"/>
    </xf>
    <xf numFmtId="164" fontId="10" fillId="0" borderId="16" xfId="3" applyNumberFormat="1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6" fontId="2" fillId="0" borderId="8" xfId="2" applyNumberFormat="1" applyBorder="1" applyAlignment="1">
      <alignment horizontal="center"/>
    </xf>
    <xf numFmtId="166" fontId="2" fillId="0" borderId="6" xfId="2" applyNumberFormat="1" applyBorder="1" applyAlignment="1">
      <alignment horizontal="center"/>
    </xf>
  </cellXfs>
  <cellStyles count="5">
    <cellStyle name="Címsor 1" xfId="1" builtinId="16"/>
    <cellStyle name="Címsor 3" xfId="2" builtinId="18"/>
    <cellStyle name="Excel Built-in Normal" xfId="4" xr:uid="{8F58E9C1-8B8B-46B1-A539-1119EA20C2E1}"/>
    <cellStyle name="Normál" xfId="0" builtinId="0"/>
    <cellStyle name="Összesen" xfId="3" builtinId="2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E487-F18E-4D7D-A3E2-B856CE5F654D}">
  <sheetPr>
    <tabColor theme="9" tint="0.59999389629810485"/>
  </sheetPr>
  <dimension ref="A1:I44"/>
  <sheetViews>
    <sheetView workbookViewId="0">
      <selection activeCell="C3" sqref="C3:I5"/>
    </sheetView>
  </sheetViews>
  <sheetFormatPr defaultRowHeight="15" x14ac:dyDescent="0.25"/>
  <cols>
    <col min="1" max="1" width="11.42578125" customWidth="1"/>
    <col min="2" max="2" width="12.28515625" customWidth="1"/>
    <col min="3" max="3" width="6.7109375" customWidth="1"/>
    <col min="4" max="4" width="5.28515625" customWidth="1"/>
    <col min="5" max="5" width="12.85546875" customWidth="1"/>
    <col min="7" max="7" width="7.5703125" customWidth="1"/>
    <col min="8" max="8" width="11.5703125" customWidth="1"/>
  </cols>
  <sheetData>
    <row r="1" spans="1:9" ht="15" customHeight="1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customHeight="1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18.75" customHeight="1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17.25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18.75" x14ac:dyDescent="0.3">
      <c r="C5" s="42" t="s">
        <v>40</v>
      </c>
      <c r="D5" s="42"/>
      <c r="E5" s="42"/>
      <c r="F5" s="16"/>
      <c r="G5" s="16"/>
      <c r="H5" s="16"/>
      <c r="I5" s="16"/>
    </row>
    <row r="6" spans="1:9" ht="15.75" thickBot="1" x14ac:dyDescent="0.3"/>
    <row r="7" spans="1:9" ht="21.75" thickBot="1" x14ac:dyDescent="0.4">
      <c r="A7" s="19" t="s">
        <v>16</v>
      </c>
      <c r="B7" s="20"/>
      <c r="C7" s="10" t="s">
        <v>18</v>
      </c>
      <c r="D7" s="38" t="s">
        <v>41</v>
      </c>
      <c r="E7" s="38"/>
      <c r="F7" s="40" t="s">
        <v>17</v>
      </c>
      <c r="G7" s="40"/>
      <c r="H7" s="38" t="s">
        <v>36</v>
      </c>
      <c r="I7" s="39"/>
    </row>
    <row r="8" spans="1:9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1560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29">
        <v>0</v>
      </c>
      <c r="D10" s="29"/>
      <c r="E10" s="3">
        <v>3200</v>
      </c>
      <c r="F10" s="26">
        <f t="shared" ref="F10" si="2">E10*C10</f>
        <v>0</v>
      </c>
      <c r="G10" s="26"/>
      <c r="H10" s="26">
        <f t="shared" ref="H10" si="3">F10*1.27</f>
        <v>0</v>
      </c>
      <c r="I10" s="26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380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1560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1860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29">
        <v>0</v>
      </c>
      <c r="D14" s="29"/>
      <c r="E14" s="3">
        <v>1750</v>
      </c>
      <c r="F14" s="26">
        <f t="shared" si="0"/>
        <v>0</v>
      </c>
      <c r="G14" s="26"/>
      <c r="H14" s="26">
        <f t="shared" si="1"/>
        <v>0</v>
      </c>
      <c r="I14" s="26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610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2760</v>
      </c>
      <c r="F16" s="26">
        <f t="shared" ref="F16" si="4">E16*C16</f>
        <v>0</v>
      </c>
      <c r="G16" s="26"/>
      <c r="H16" s="26">
        <f t="shared" ref="H16" si="5">F16*1.27</f>
        <v>0</v>
      </c>
      <c r="I16" s="26"/>
    </row>
    <row r="17" spans="1:9" ht="18" customHeight="1" x14ac:dyDescent="0.25">
      <c r="A17" s="27" t="s">
        <v>14</v>
      </c>
      <c r="B17" s="28"/>
      <c r="C17" s="29">
        <v>0</v>
      </c>
      <c r="D17" s="29"/>
      <c r="E17" s="3">
        <v>750</v>
      </c>
      <c r="F17" s="26">
        <f t="shared" si="0"/>
        <v>0</v>
      </c>
      <c r="G17" s="26"/>
      <c r="H17" s="31">
        <f t="shared" si="1"/>
        <v>0</v>
      </c>
      <c r="I17" s="31"/>
    </row>
    <row r="18" spans="1:9" ht="18" customHeight="1" x14ac:dyDescent="0.25">
      <c r="A18" s="27" t="s">
        <v>13</v>
      </c>
      <c r="B18" s="28"/>
      <c r="C18" s="29">
        <v>0</v>
      </c>
      <c r="D18" s="29"/>
      <c r="E18" s="3">
        <v>950</v>
      </c>
      <c r="F18" s="26">
        <f t="shared" si="0"/>
        <v>0</v>
      </c>
      <c r="G18" s="26"/>
      <c r="H18" s="31">
        <f t="shared" si="1"/>
        <v>0</v>
      </c>
      <c r="I18" s="31"/>
    </row>
    <row r="19" spans="1:9" ht="18" customHeight="1" x14ac:dyDescent="0.25">
      <c r="A19" s="27" t="s">
        <v>15</v>
      </c>
      <c r="B19" s="28"/>
      <c r="C19" s="29">
        <v>0</v>
      </c>
      <c r="D19" s="29"/>
      <c r="E19" s="3">
        <v>750</v>
      </c>
      <c r="F19" s="26">
        <f t="shared" si="0"/>
        <v>0</v>
      </c>
      <c r="G19" s="26"/>
      <c r="H19" s="31">
        <f t="shared" si="1"/>
        <v>0</v>
      </c>
      <c r="I19" s="31"/>
    </row>
    <row r="20" spans="1:9" ht="18" customHeight="1" x14ac:dyDescent="0.25">
      <c r="A20" s="27" t="s">
        <v>19</v>
      </c>
      <c r="B20" s="28"/>
      <c r="C20" s="29">
        <v>0</v>
      </c>
      <c r="D20" s="29"/>
      <c r="E20" s="3">
        <v>960</v>
      </c>
      <c r="F20" s="26">
        <f t="shared" si="0"/>
        <v>0</v>
      </c>
      <c r="G20" s="26"/>
      <c r="H20" s="31">
        <f t="shared" si="1"/>
        <v>0</v>
      </c>
      <c r="I20" s="31"/>
    </row>
    <row r="21" spans="1:9" ht="18" customHeight="1" x14ac:dyDescent="0.25">
      <c r="A21" s="27" t="s">
        <v>20</v>
      </c>
      <c r="B21" s="28"/>
      <c r="C21" s="29">
        <v>0</v>
      </c>
      <c r="D21" s="29"/>
      <c r="E21" s="3">
        <v>1080</v>
      </c>
      <c r="F21" s="26">
        <f t="shared" si="0"/>
        <v>0</v>
      </c>
      <c r="G21" s="26"/>
      <c r="H21" s="31">
        <f t="shared" si="1"/>
        <v>0</v>
      </c>
      <c r="I21" s="31"/>
    </row>
    <row r="22" spans="1:9" ht="18" customHeight="1" x14ac:dyDescent="0.25">
      <c r="A22" s="27" t="s">
        <v>21</v>
      </c>
      <c r="B22" s="28"/>
      <c r="C22" s="29">
        <v>0</v>
      </c>
      <c r="D22" s="29"/>
      <c r="E22" s="3">
        <v>3100</v>
      </c>
      <c r="F22" s="26">
        <f t="shared" si="0"/>
        <v>0</v>
      </c>
      <c r="G22" s="26"/>
      <c r="H22" s="31">
        <f t="shared" si="1"/>
        <v>0</v>
      </c>
      <c r="I22" s="31"/>
    </row>
    <row r="23" spans="1:9" ht="18" customHeight="1" x14ac:dyDescent="0.25">
      <c r="A23" s="27" t="s">
        <v>22</v>
      </c>
      <c r="B23" s="28"/>
      <c r="C23" s="29">
        <v>0</v>
      </c>
      <c r="D23" s="29"/>
      <c r="E23" s="3">
        <v>3780</v>
      </c>
      <c r="F23" s="26">
        <f t="shared" si="0"/>
        <v>0</v>
      </c>
      <c r="G23" s="26"/>
      <c r="H23" s="31">
        <f t="shared" si="1"/>
        <v>0</v>
      </c>
      <c r="I23" s="31"/>
    </row>
    <row r="24" spans="1:9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0"/>
        <v>0</v>
      </c>
      <c r="G24" s="26"/>
      <c r="H24" s="31">
        <f t="shared" si="1"/>
        <v>0</v>
      </c>
      <c r="I24" s="31"/>
    </row>
    <row r="25" spans="1:9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0"/>
        <v>0</v>
      </c>
      <c r="G25" s="26"/>
      <c r="H25" s="26">
        <f t="shared" si="1"/>
        <v>0</v>
      </c>
      <c r="I25" s="26"/>
    </row>
    <row r="26" spans="1:9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si="0"/>
        <v>0</v>
      </c>
      <c r="G26" s="26"/>
      <c r="H26" s="26">
        <f t="shared" si="1"/>
        <v>0</v>
      </c>
      <c r="I26" s="26"/>
    </row>
    <row r="27" spans="1:9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9" ht="21.75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31" spans="1:9" ht="15.75" thickBot="1" x14ac:dyDescent="0.3"/>
    <row r="32" spans="1:9" ht="25.5" customHeight="1" x14ac:dyDescent="0.25">
      <c r="A32" s="51" t="s">
        <v>25</v>
      </c>
      <c r="B32" s="52"/>
      <c r="C32" s="52"/>
      <c r="D32" s="52"/>
      <c r="E32" s="52"/>
      <c r="F32" s="52"/>
      <c r="G32" s="52"/>
      <c r="H32" s="52"/>
      <c r="I32" s="53"/>
    </row>
    <row r="33" spans="1:9" ht="15.75" thickBot="1" x14ac:dyDescent="0.3">
      <c r="A33" s="54"/>
      <c r="B33" s="55"/>
      <c r="C33" s="55"/>
      <c r="D33" s="55"/>
      <c r="E33" s="55"/>
      <c r="F33" s="55"/>
      <c r="G33" s="55"/>
      <c r="H33" s="55"/>
      <c r="I33" s="56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6" spans="1:9" x14ac:dyDescent="0.25">
      <c r="A36" s="7" t="s">
        <v>30</v>
      </c>
    </row>
    <row r="37" spans="1:9" x14ac:dyDescent="0.25">
      <c r="B37" s="45" t="s">
        <v>35</v>
      </c>
      <c r="C37" s="45"/>
      <c r="D37" s="45"/>
    </row>
    <row r="40" spans="1:9" x14ac:dyDescent="0.25">
      <c r="A40" s="7" t="s">
        <v>34</v>
      </c>
    </row>
    <row r="41" spans="1:9" ht="15.75" x14ac:dyDescent="0.25">
      <c r="A41" s="44" t="s">
        <v>33</v>
      </c>
      <c r="B41" s="44"/>
      <c r="C41" s="4"/>
      <c r="E41" s="50" t="s">
        <v>26</v>
      </c>
      <c r="F41" s="50"/>
      <c r="G41" s="46" t="s">
        <v>27</v>
      </c>
      <c r="H41" s="46"/>
      <c r="I41" s="5"/>
    </row>
    <row r="42" spans="1:9" x14ac:dyDescent="0.25">
      <c r="A42" s="44"/>
      <c r="B42" s="44"/>
      <c r="D42" s="6"/>
      <c r="E42" s="43" t="s">
        <v>28</v>
      </c>
      <c r="F42" s="43"/>
      <c r="G42" s="43" t="s">
        <v>29</v>
      </c>
      <c r="H42" s="43"/>
      <c r="I42" s="5"/>
    </row>
    <row r="43" spans="1:9" x14ac:dyDescent="0.25">
      <c r="A43" s="44"/>
      <c r="B43" s="44"/>
      <c r="D43" s="6"/>
      <c r="E43" s="43"/>
      <c r="F43" s="43"/>
      <c r="G43" s="43"/>
      <c r="H43" s="43"/>
      <c r="I43" s="5"/>
    </row>
    <row r="44" spans="1:9" x14ac:dyDescent="0.25">
      <c r="A44" s="44"/>
      <c r="B44" s="44"/>
      <c r="D44" s="6"/>
      <c r="E44" s="43" t="s">
        <v>31</v>
      </c>
      <c r="F44" s="43"/>
      <c r="G44" s="43" t="s">
        <v>32</v>
      </c>
      <c r="H44" s="43"/>
      <c r="I44" s="5"/>
    </row>
  </sheetData>
  <mergeCells count="99">
    <mergeCell ref="A32:I33"/>
    <mergeCell ref="B37:D37"/>
    <mergeCell ref="A41:B44"/>
    <mergeCell ref="E41:F41"/>
    <mergeCell ref="G41:H41"/>
    <mergeCell ref="E42:F43"/>
    <mergeCell ref="G42:H43"/>
    <mergeCell ref="E44:F44"/>
    <mergeCell ref="G44:H44"/>
    <mergeCell ref="A27:B27"/>
    <mergeCell ref="C27:D27"/>
    <mergeCell ref="F27:G27"/>
    <mergeCell ref="H27:I27"/>
    <mergeCell ref="F28:G28"/>
    <mergeCell ref="H28:I28"/>
    <mergeCell ref="A25:B25"/>
    <mergeCell ref="C25:D25"/>
    <mergeCell ref="F25:G25"/>
    <mergeCell ref="H25:I25"/>
    <mergeCell ref="A26:B26"/>
    <mergeCell ref="C26:D26"/>
    <mergeCell ref="F26:G26"/>
    <mergeCell ref="H26:I26"/>
    <mergeCell ref="A23:B23"/>
    <mergeCell ref="C23:D23"/>
    <mergeCell ref="F23:G23"/>
    <mergeCell ref="H23:I23"/>
    <mergeCell ref="A24:B24"/>
    <mergeCell ref="C24:D24"/>
    <mergeCell ref="F24:G24"/>
    <mergeCell ref="H24:I24"/>
    <mergeCell ref="A21:B21"/>
    <mergeCell ref="C21:D21"/>
    <mergeCell ref="F21:G21"/>
    <mergeCell ref="H21:I21"/>
    <mergeCell ref="A22:B22"/>
    <mergeCell ref="C22:D22"/>
    <mergeCell ref="F22:G22"/>
    <mergeCell ref="H22:I22"/>
    <mergeCell ref="A19:B19"/>
    <mergeCell ref="C19:D19"/>
    <mergeCell ref="F19:G19"/>
    <mergeCell ref="H19:I19"/>
    <mergeCell ref="A20:B20"/>
    <mergeCell ref="C20:D20"/>
    <mergeCell ref="F20:G20"/>
    <mergeCell ref="H20:I20"/>
    <mergeCell ref="A17:B17"/>
    <mergeCell ref="C17:D17"/>
    <mergeCell ref="F17:G17"/>
    <mergeCell ref="H17:I17"/>
    <mergeCell ref="A18:B18"/>
    <mergeCell ref="C18:D18"/>
    <mergeCell ref="F18:G18"/>
    <mergeCell ref="H18:I18"/>
    <mergeCell ref="A15:B15"/>
    <mergeCell ref="C15:D15"/>
    <mergeCell ref="F15:G15"/>
    <mergeCell ref="H15:I15"/>
    <mergeCell ref="A16:B16"/>
    <mergeCell ref="C16:D16"/>
    <mergeCell ref="F16:G16"/>
    <mergeCell ref="H16:I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8:B8"/>
    <mergeCell ref="C8:D8"/>
    <mergeCell ref="F8:G8"/>
    <mergeCell ref="H8:I8"/>
    <mergeCell ref="A1:I2"/>
    <mergeCell ref="A7:B7"/>
    <mergeCell ref="D7:E7"/>
    <mergeCell ref="F7:G7"/>
    <mergeCell ref="H7:I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04BF-E906-4370-A746-EC400C061368}">
  <sheetPr>
    <tabColor theme="9" tint="0.59999389629810485"/>
  </sheetPr>
  <dimension ref="A1:I44"/>
  <sheetViews>
    <sheetView workbookViewId="0">
      <selection activeCell="D7" sqref="D7:E7"/>
    </sheetView>
  </sheetViews>
  <sheetFormatPr defaultRowHeight="15" x14ac:dyDescent="0.25"/>
  <cols>
    <col min="1" max="1" width="11.28515625" customWidth="1"/>
    <col min="2" max="2" width="11.42578125" customWidth="1"/>
    <col min="3" max="3" width="6.85546875" customWidth="1"/>
    <col min="4" max="4" width="5.42578125" customWidth="1"/>
    <col min="5" max="5" width="12.85546875" customWidth="1"/>
    <col min="8" max="8" width="10.7109375" customWidth="1"/>
  </cols>
  <sheetData>
    <row r="1" spans="1:9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26.25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18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18.75" x14ac:dyDescent="0.3">
      <c r="C5" s="42" t="s">
        <v>40</v>
      </c>
      <c r="D5" s="42"/>
      <c r="E5" s="42"/>
      <c r="F5" s="16"/>
      <c r="G5" s="16"/>
      <c r="H5" s="16"/>
      <c r="I5" s="16"/>
    </row>
    <row r="6" spans="1:9" ht="15.75" thickBot="1" x14ac:dyDescent="0.3"/>
    <row r="7" spans="1:9" ht="21.75" thickBot="1" x14ac:dyDescent="0.4">
      <c r="A7" s="19" t="s">
        <v>16</v>
      </c>
      <c r="B7" s="20"/>
      <c r="C7" s="10" t="s">
        <v>18</v>
      </c>
      <c r="D7" s="38" t="s">
        <v>43</v>
      </c>
      <c r="E7" s="38"/>
      <c r="F7" s="40" t="s">
        <v>17</v>
      </c>
      <c r="G7" s="40"/>
      <c r="H7" s="38" t="s">
        <v>36</v>
      </c>
      <c r="I7" s="39"/>
    </row>
    <row r="8" spans="1:9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1100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57">
        <v>0</v>
      </c>
      <c r="D10" s="58"/>
      <c r="E10" s="3">
        <v>2300</v>
      </c>
      <c r="F10" s="31">
        <f t="shared" ref="F10" si="2">E10*C10</f>
        <v>0</v>
      </c>
      <c r="G10" s="31"/>
      <c r="H10" s="31">
        <f t="shared" ref="H10" si="3">F10*1.27</f>
        <v>0</v>
      </c>
      <c r="I10" s="31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280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1300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1750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57">
        <v>0</v>
      </c>
      <c r="D14" s="58"/>
      <c r="E14" s="3">
        <v>1490</v>
      </c>
      <c r="F14" s="31">
        <f t="shared" si="0"/>
        <v>0</v>
      </c>
      <c r="G14" s="31"/>
      <c r="H14" s="31">
        <f t="shared" si="1"/>
        <v>0</v>
      </c>
      <c r="I14" s="31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600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1880</v>
      </c>
      <c r="F16" s="26">
        <f t="shared" ref="F16" si="4">E16*C16</f>
        <v>0</v>
      </c>
      <c r="G16" s="26"/>
      <c r="H16" s="26">
        <f t="shared" ref="H16" si="5">F16*1.27</f>
        <v>0</v>
      </c>
      <c r="I16" s="26"/>
    </row>
    <row r="17" spans="1:9" ht="18" customHeight="1" x14ac:dyDescent="0.25">
      <c r="A17" s="27" t="s">
        <v>14</v>
      </c>
      <c r="B17" s="28"/>
      <c r="C17" s="29">
        <v>0</v>
      </c>
      <c r="D17" s="29"/>
      <c r="E17" s="3">
        <v>620</v>
      </c>
      <c r="F17" s="26">
        <f t="shared" si="0"/>
        <v>0</v>
      </c>
      <c r="G17" s="26"/>
      <c r="H17" s="31">
        <f t="shared" si="1"/>
        <v>0</v>
      </c>
      <c r="I17" s="31"/>
    </row>
    <row r="18" spans="1:9" ht="18" customHeight="1" x14ac:dyDescent="0.25">
      <c r="A18" s="27" t="s">
        <v>13</v>
      </c>
      <c r="B18" s="28"/>
      <c r="C18" s="29">
        <v>0</v>
      </c>
      <c r="D18" s="29"/>
      <c r="E18" s="3">
        <v>820</v>
      </c>
      <c r="F18" s="26">
        <f t="shared" si="0"/>
        <v>0</v>
      </c>
      <c r="G18" s="26"/>
      <c r="H18" s="31">
        <f t="shared" si="1"/>
        <v>0</v>
      </c>
      <c r="I18" s="31"/>
    </row>
    <row r="19" spans="1:9" ht="18" customHeight="1" x14ac:dyDescent="0.25">
      <c r="A19" s="27" t="s">
        <v>15</v>
      </c>
      <c r="B19" s="28"/>
      <c r="C19" s="29">
        <v>0</v>
      </c>
      <c r="D19" s="29"/>
      <c r="E19" s="3">
        <v>620</v>
      </c>
      <c r="F19" s="26">
        <f t="shared" si="0"/>
        <v>0</v>
      </c>
      <c r="G19" s="26"/>
      <c r="H19" s="31">
        <f t="shared" si="1"/>
        <v>0</v>
      </c>
      <c r="I19" s="31"/>
    </row>
    <row r="20" spans="1:9" ht="18" customHeight="1" x14ac:dyDescent="0.25">
      <c r="A20" s="27" t="s">
        <v>19</v>
      </c>
      <c r="B20" s="28"/>
      <c r="C20" s="29">
        <v>0</v>
      </c>
      <c r="D20" s="29"/>
      <c r="E20" s="3">
        <v>1000</v>
      </c>
      <c r="F20" s="26">
        <f t="shared" si="0"/>
        <v>0</v>
      </c>
      <c r="G20" s="26"/>
      <c r="H20" s="31">
        <f t="shared" si="1"/>
        <v>0</v>
      </c>
      <c r="I20" s="31"/>
    </row>
    <row r="21" spans="1:9" ht="18" customHeight="1" x14ac:dyDescent="0.25">
      <c r="A21" s="27" t="s">
        <v>20</v>
      </c>
      <c r="B21" s="28"/>
      <c r="C21" s="29">
        <v>0</v>
      </c>
      <c r="D21" s="29"/>
      <c r="E21" s="3">
        <v>2100</v>
      </c>
      <c r="F21" s="26">
        <f t="shared" si="0"/>
        <v>0</v>
      </c>
      <c r="G21" s="26"/>
      <c r="H21" s="31">
        <f t="shared" si="1"/>
        <v>0</v>
      </c>
      <c r="I21" s="31"/>
    </row>
    <row r="22" spans="1:9" ht="18" customHeight="1" x14ac:dyDescent="0.25">
      <c r="A22" s="27" t="s">
        <v>21</v>
      </c>
      <c r="B22" s="28"/>
      <c r="C22" s="29">
        <v>0</v>
      </c>
      <c r="D22" s="29"/>
      <c r="E22" s="3">
        <v>3100</v>
      </c>
      <c r="F22" s="26">
        <f t="shared" si="0"/>
        <v>0</v>
      </c>
      <c r="G22" s="26"/>
      <c r="H22" s="31">
        <f t="shared" si="1"/>
        <v>0</v>
      </c>
      <c r="I22" s="31"/>
    </row>
    <row r="23" spans="1:9" ht="18" customHeight="1" x14ac:dyDescent="0.25">
      <c r="A23" s="27" t="s">
        <v>22</v>
      </c>
      <c r="B23" s="28"/>
      <c r="C23" s="29">
        <v>0</v>
      </c>
      <c r="D23" s="29"/>
      <c r="E23" s="3">
        <v>3780</v>
      </c>
      <c r="F23" s="26">
        <f t="shared" si="0"/>
        <v>0</v>
      </c>
      <c r="G23" s="26"/>
      <c r="H23" s="31">
        <f t="shared" si="1"/>
        <v>0</v>
      </c>
      <c r="I23" s="31"/>
    </row>
    <row r="24" spans="1:9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0"/>
        <v>0</v>
      </c>
      <c r="G24" s="26"/>
      <c r="H24" s="31">
        <f t="shared" si="1"/>
        <v>0</v>
      </c>
      <c r="I24" s="31"/>
    </row>
    <row r="25" spans="1:9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0"/>
        <v>0</v>
      </c>
      <c r="G25" s="26"/>
      <c r="H25" s="26">
        <f t="shared" si="1"/>
        <v>0</v>
      </c>
      <c r="I25" s="26"/>
    </row>
    <row r="26" spans="1:9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si="0"/>
        <v>0</v>
      </c>
      <c r="G26" s="26"/>
      <c r="H26" s="26">
        <f t="shared" si="1"/>
        <v>0</v>
      </c>
      <c r="I26" s="26"/>
    </row>
    <row r="27" spans="1:9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9" ht="21.75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31" spans="1:9" ht="15.75" thickBot="1" x14ac:dyDescent="0.3"/>
    <row r="32" spans="1:9" ht="22.5" customHeight="1" x14ac:dyDescent="0.25">
      <c r="A32" s="51" t="s">
        <v>25</v>
      </c>
      <c r="B32" s="52"/>
      <c r="C32" s="52"/>
      <c r="D32" s="52"/>
      <c r="E32" s="52"/>
      <c r="F32" s="52"/>
      <c r="G32" s="52"/>
      <c r="H32" s="52"/>
      <c r="I32" s="53"/>
    </row>
    <row r="33" spans="1:9" ht="15.75" thickBot="1" x14ac:dyDescent="0.3">
      <c r="A33" s="54"/>
      <c r="B33" s="55"/>
      <c r="C33" s="55"/>
      <c r="D33" s="55"/>
      <c r="E33" s="55"/>
      <c r="F33" s="55"/>
      <c r="G33" s="55"/>
      <c r="H33" s="55"/>
      <c r="I33" s="56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6" spans="1:9" x14ac:dyDescent="0.25">
      <c r="A36" s="7" t="s">
        <v>30</v>
      </c>
    </row>
    <row r="37" spans="1:9" x14ac:dyDescent="0.25">
      <c r="B37" s="45" t="s">
        <v>35</v>
      </c>
      <c r="C37" s="45"/>
      <c r="D37" s="45"/>
    </row>
    <row r="40" spans="1:9" x14ac:dyDescent="0.25">
      <c r="A40" s="7" t="s">
        <v>34</v>
      </c>
    </row>
    <row r="41" spans="1:9" ht="15.75" x14ac:dyDescent="0.25">
      <c r="A41" s="44" t="s">
        <v>33</v>
      </c>
      <c r="B41" s="44"/>
      <c r="C41" s="4"/>
      <c r="E41" s="50" t="s">
        <v>26</v>
      </c>
      <c r="F41" s="50"/>
      <c r="G41" s="46" t="s">
        <v>27</v>
      </c>
      <c r="H41" s="46"/>
      <c r="I41" s="5"/>
    </row>
    <row r="42" spans="1:9" x14ac:dyDescent="0.25">
      <c r="A42" s="44"/>
      <c r="B42" s="44"/>
      <c r="D42" s="6"/>
      <c r="E42" s="43" t="s">
        <v>28</v>
      </c>
      <c r="F42" s="43"/>
      <c r="G42" s="43" t="s">
        <v>29</v>
      </c>
      <c r="H42" s="43"/>
      <c r="I42" s="5"/>
    </row>
    <row r="43" spans="1:9" x14ac:dyDescent="0.25">
      <c r="A43" s="44"/>
      <c r="B43" s="44"/>
      <c r="D43" s="6"/>
      <c r="E43" s="43"/>
      <c r="F43" s="43"/>
      <c r="G43" s="43"/>
      <c r="H43" s="43"/>
      <c r="I43" s="5"/>
    </row>
    <row r="44" spans="1:9" x14ac:dyDescent="0.25">
      <c r="A44" s="44"/>
      <c r="B44" s="44"/>
      <c r="D44" s="6"/>
      <c r="E44" s="43" t="s">
        <v>31</v>
      </c>
      <c r="F44" s="43"/>
      <c r="G44" s="43" t="s">
        <v>32</v>
      </c>
      <c r="H44" s="43"/>
      <c r="I44" s="5"/>
    </row>
  </sheetData>
  <mergeCells count="99">
    <mergeCell ref="A32:I33"/>
    <mergeCell ref="B37:D37"/>
    <mergeCell ref="A41:B44"/>
    <mergeCell ref="E41:F41"/>
    <mergeCell ref="G41:H41"/>
    <mergeCell ref="E42:F43"/>
    <mergeCell ref="G42:H43"/>
    <mergeCell ref="E44:F44"/>
    <mergeCell ref="G44:H44"/>
    <mergeCell ref="A27:B27"/>
    <mergeCell ref="C27:D27"/>
    <mergeCell ref="F27:G27"/>
    <mergeCell ref="H27:I27"/>
    <mergeCell ref="F28:G28"/>
    <mergeCell ref="H28:I28"/>
    <mergeCell ref="A25:B25"/>
    <mergeCell ref="C25:D25"/>
    <mergeCell ref="F25:G25"/>
    <mergeCell ref="H25:I25"/>
    <mergeCell ref="A26:B26"/>
    <mergeCell ref="C26:D26"/>
    <mergeCell ref="F26:G26"/>
    <mergeCell ref="H26:I26"/>
    <mergeCell ref="A23:B23"/>
    <mergeCell ref="C23:D23"/>
    <mergeCell ref="F23:G23"/>
    <mergeCell ref="H23:I23"/>
    <mergeCell ref="A24:B24"/>
    <mergeCell ref="C24:D24"/>
    <mergeCell ref="F24:G24"/>
    <mergeCell ref="H24:I24"/>
    <mergeCell ref="A21:B21"/>
    <mergeCell ref="C21:D21"/>
    <mergeCell ref="F21:G21"/>
    <mergeCell ref="H21:I21"/>
    <mergeCell ref="A22:B22"/>
    <mergeCell ref="C22:D22"/>
    <mergeCell ref="F22:G22"/>
    <mergeCell ref="H22:I22"/>
    <mergeCell ref="A19:B19"/>
    <mergeCell ref="C19:D19"/>
    <mergeCell ref="F19:G19"/>
    <mergeCell ref="H19:I19"/>
    <mergeCell ref="A20:B20"/>
    <mergeCell ref="C20:D20"/>
    <mergeCell ref="F20:G20"/>
    <mergeCell ref="H20:I20"/>
    <mergeCell ref="A17:B17"/>
    <mergeCell ref="C17:D17"/>
    <mergeCell ref="F17:G17"/>
    <mergeCell ref="H17:I17"/>
    <mergeCell ref="A18:B18"/>
    <mergeCell ref="C18:D18"/>
    <mergeCell ref="F18:G18"/>
    <mergeCell ref="H18:I18"/>
    <mergeCell ref="A15:B15"/>
    <mergeCell ref="C15:D15"/>
    <mergeCell ref="F15:G15"/>
    <mergeCell ref="H15:I15"/>
    <mergeCell ref="A16:B16"/>
    <mergeCell ref="C16:D16"/>
    <mergeCell ref="F16:G16"/>
    <mergeCell ref="H16:I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8:B8"/>
    <mergeCell ref="C8:D8"/>
    <mergeCell ref="F8:G8"/>
    <mergeCell ref="H8:I8"/>
    <mergeCell ref="A1:I2"/>
    <mergeCell ref="A7:B7"/>
    <mergeCell ref="D7:E7"/>
    <mergeCell ref="F7:G7"/>
    <mergeCell ref="H7:I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0A9-7E25-4E66-AA11-FC354E012BE5}">
  <sheetPr>
    <tabColor rgb="FFFFCCFF"/>
  </sheetPr>
  <dimension ref="A1:N42"/>
  <sheetViews>
    <sheetView tabSelected="1" workbookViewId="0">
      <selection activeCell="H7" sqref="H7:I7"/>
    </sheetView>
  </sheetViews>
  <sheetFormatPr defaultRowHeight="15" x14ac:dyDescent="0.25"/>
  <cols>
    <col min="2" max="2" width="15.5703125" customWidth="1"/>
    <col min="3" max="3" width="7.85546875" customWidth="1"/>
    <col min="4" max="4" width="6" customWidth="1"/>
    <col min="5" max="5" width="12" customWidth="1"/>
    <col min="6" max="6" width="8.42578125" customWidth="1"/>
    <col min="7" max="7" width="9" customWidth="1"/>
    <col min="8" max="8" width="10" customWidth="1"/>
  </cols>
  <sheetData>
    <row r="1" spans="1:9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27" customHeight="1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20.25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20.25" customHeight="1" x14ac:dyDescent="0.3">
      <c r="C5" s="42" t="s">
        <v>40</v>
      </c>
      <c r="D5" s="42"/>
      <c r="E5" s="42"/>
      <c r="F5" s="16"/>
      <c r="G5" s="16"/>
      <c r="H5" s="16"/>
      <c r="I5" s="16"/>
    </row>
    <row r="6" spans="1:9" ht="15.75" thickBot="1" x14ac:dyDescent="0.3"/>
    <row r="7" spans="1:9" ht="21.75" thickBot="1" x14ac:dyDescent="0.4">
      <c r="A7" s="19" t="s">
        <v>16</v>
      </c>
      <c r="B7" s="20"/>
      <c r="C7" s="10" t="s">
        <v>18</v>
      </c>
      <c r="D7" s="38" t="s">
        <v>41</v>
      </c>
      <c r="E7" s="38"/>
      <c r="F7" s="40" t="s">
        <v>17</v>
      </c>
      <c r="G7" s="40"/>
      <c r="H7" s="38"/>
      <c r="I7" s="39"/>
    </row>
    <row r="8" spans="1:9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1990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29">
        <v>0</v>
      </c>
      <c r="D10" s="29"/>
      <c r="E10" s="3">
        <v>4180</v>
      </c>
      <c r="F10" s="26">
        <f t="shared" ref="F10" si="2">E10*C10</f>
        <v>0</v>
      </c>
      <c r="G10" s="26"/>
      <c r="H10" s="26">
        <f t="shared" ref="H10" si="3">F10*1.27</f>
        <v>0</v>
      </c>
      <c r="I10" s="26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450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1870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2450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29">
        <v>0</v>
      </c>
      <c r="D14" s="29"/>
      <c r="E14" s="3">
        <v>2260</v>
      </c>
      <c r="F14" s="26">
        <f t="shared" si="0"/>
        <v>0</v>
      </c>
      <c r="G14" s="26"/>
      <c r="H14" s="26">
        <f t="shared" si="1"/>
        <v>0</v>
      </c>
      <c r="I14" s="26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750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1930</v>
      </c>
      <c r="F16" s="26">
        <f t="shared" ref="F16" si="4">E16*C16</f>
        <v>0</v>
      </c>
      <c r="G16" s="26"/>
      <c r="H16" s="26">
        <f t="shared" ref="H16" si="5">F16*1.27</f>
        <v>0</v>
      </c>
      <c r="I16" s="26"/>
    </row>
    <row r="17" spans="1:14" ht="18" customHeight="1" x14ac:dyDescent="0.25">
      <c r="A17" s="27" t="s">
        <v>14</v>
      </c>
      <c r="B17" s="28"/>
      <c r="C17" s="29">
        <v>0</v>
      </c>
      <c r="D17" s="29"/>
      <c r="E17" s="3">
        <v>1000</v>
      </c>
      <c r="F17" s="26">
        <f t="shared" ref="F17:F25" si="6">E17*C17</f>
        <v>0</v>
      </c>
      <c r="G17" s="26"/>
      <c r="H17" s="31">
        <f t="shared" ref="H17:H25" si="7">F17*1.27</f>
        <v>0</v>
      </c>
      <c r="I17" s="31"/>
    </row>
    <row r="18" spans="1:14" ht="18" customHeight="1" x14ac:dyDescent="0.25">
      <c r="A18" s="27" t="s">
        <v>13</v>
      </c>
      <c r="B18" s="28"/>
      <c r="C18" s="29">
        <v>0</v>
      </c>
      <c r="D18" s="29"/>
      <c r="E18" s="3">
        <v>1200</v>
      </c>
      <c r="F18" s="26">
        <f t="shared" si="6"/>
        <v>0</v>
      </c>
      <c r="G18" s="26"/>
      <c r="H18" s="31">
        <f t="shared" si="7"/>
        <v>0</v>
      </c>
      <c r="I18" s="31"/>
    </row>
    <row r="19" spans="1:14" ht="18" customHeight="1" x14ac:dyDescent="0.25">
      <c r="A19" s="27" t="s">
        <v>15</v>
      </c>
      <c r="B19" s="28"/>
      <c r="C19" s="29">
        <v>0</v>
      </c>
      <c r="D19" s="29"/>
      <c r="E19" s="3">
        <v>1000</v>
      </c>
      <c r="F19" s="26">
        <f t="shared" si="6"/>
        <v>0</v>
      </c>
      <c r="G19" s="26"/>
      <c r="H19" s="31">
        <f t="shared" si="7"/>
        <v>0</v>
      </c>
      <c r="I19" s="31"/>
    </row>
    <row r="20" spans="1:14" ht="18" customHeight="1" x14ac:dyDescent="0.25">
      <c r="A20" s="27" t="s">
        <v>19</v>
      </c>
      <c r="B20" s="28"/>
      <c r="C20" s="29">
        <v>0</v>
      </c>
      <c r="D20" s="29"/>
      <c r="E20" s="3">
        <v>1740</v>
      </c>
      <c r="F20" s="26">
        <f t="shared" si="6"/>
        <v>0</v>
      </c>
      <c r="G20" s="26"/>
      <c r="H20" s="31">
        <f t="shared" si="7"/>
        <v>0</v>
      </c>
      <c r="I20" s="31"/>
    </row>
    <row r="21" spans="1:14" ht="18" customHeight="1" x14ac:dyDescent="0.25">
      <c r="A21" s="27" t="s">
        <v>20</v>
      </c>
      <c r="B21" s="28"/>
      <c r="C21" s="29">
        <v>0</v>
      </c>
      <c r="D21" s="29"/>
      <c r="E21" s="3">
        <v>1590</v>
      </c>
      <c r="F21" s="26">
        <f t="shared" si="6"/>
        <v>0</v>
      </c>
      <c r="G21" s="26"/>
      <c r="H21" s="31">
        <f t="shared" si="7"/>
        <v>0</v>
      </c>
      <c r="I21" s="31"/>
    </row>
    <row r="22" spans="1:14" ht="18" customHeight="1" x14ac:dyDescent="0.25">
      <c r="A22" s="27" t="s">
        <v>21</v>
      </c>
      <c r="B22" s="28"/>
      <c r="C22" s="29">
        <v>0</v>
      </c>
      <c r="D22" s="29"/>
      <c r="E22" s="3">
        <v>2695</v>
      </c>
      <c r="F22" s="26">
        <f t="shared" ref="F22:F23" si="8">E22*C22</f>
        <v>0</v>
      </c>
      <c r="G22" s="26"/>
      <c r="H22" s="31">
        <f t="shared" ref="H22:H23" si="9">F22*1.27</f>
        <v>0</v>
      </c>
      <c r="I22" s="31"/>
    </row>
    <row r="23" spans="1:14" ht="18" customHeight="1" x14ac:dyDescent="0.25">
      <c r="A23" s="27" t="s">
        <v>22</v>
      </c>
      <c r="B23" s="28"/>
      <c r="C23" s="29">
        <v>0</v>
      </c>
      <c r="D23" s="29"/>
      <c r="E23" s="3">
        <v>9275</v>
      </c>
      <c r="F23" s="26">
        <f t="shared" si="8"/>
        <v>0</v>
      </c>
      <c r="G23" s="26"/>
      <c r="H23" s="31">
        <f t="shared" si="9"/>
        <v>0</v>
      </c>
      <c r="I23" s="31"/>
    </row>
    <row r="24" spans="1:14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6"/>
        <v>0</v>
      </c>
      <c r="G24" s="26"/>
      <c r="H24" s="31">
        <f t="shared" si="7"/>
        <v>0</v>
      </c>
      <c r="I24" s="31"/>
    </row>
    <row r="25" spans="1:14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6"/>
        <v>0</v>
      </c>
      <c r="G25" s="26"/>
      <c r="H25" s="26">
        <f t="shared" si="7"/>
        <v>0</v>
      </c>
      <c r="I25" s="26"/>
    </row>
    <row r="26" spans="1:14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ref="F26" si="10">E26*C26</f>
        <v>0</v>
      </c>
      <c r="G26" s="26"/>
      <c r="H26" s="26">
        <f t="shared" ref="H26" si="11">F26*1.27</f>
        <v>0</v>
      </c>
      <c r="I26" s="26"/>
    </row>
    <row r="27" spans="1:14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14" ht="28.5" customHeight="1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29" spans="1:14" ht="15.75" thickBot="1" x14ac:dyDescent="0.3"/>
    <row r="30" spans="1:14" ht="33.75" customHeight="1" x14ac:dyDescent="0.25">
      <c r="A30" s="51" t="s">
        <v>42</v>
      </c>
      <c r="B30" s="52"/>
      <c r="C30" s="52"/>
      <c r="D30" s="52"/>
      <c r="E30" s="52"/>
      <c r="F30" s="52"/>
      <c r="G30" s="52"/>
      <c r="H30" s="52"/>
      <c r="I30" s="53"/>
      <c r="J30" s="4"/>
      <c r="M30" s="6"/>
      <c r="N30" s="6"/>
    </row>
    <row r="31" spans="1:14" ht="15.75" thickBot="1" x14ac:dyDescent="0.3">
      <c r="A31" s="54"/>
      <c r="B31" s="55"/>
      <c r="C31" s="55"/>
      <c r="D31" s="55"/>
      <c r="E31" s="55"/>
      <c r="F31" s="55"/>
      <c r="G31" s="55"/>
      <c r="H31" s="55"/>
      <c r="I31" s="56"/>
      <c r="J31" s="4"/>
      <c r="M31" s="6"/>
      <c r="N31" s="6"/>
    </row>
    <row r="32" spans="1:14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4"/>
      <c r="M32" s="6"/>
      <c r="N32" s="6"/>
    </row>
    <row r="33" spans="1:14" ht="15" customHeight="1" x14ac:dyDescent="0.25">
      <c r="M33" s="6"/>
      <c r="N33" s="6"/>
    </row>
    <row r="34" spans="1:14" x14ac:dyDescent="0.25">
      <c r="A34" s="7" t="s">
        <v>30</v>
      </c>
    </row>
    <row r="35" spans="1:14" x14ac:dyDescent="0.25">
      <c r="B35" s="45" t="s">
        <v>35</v>
      </c>
      <c r="C35" s="45"/>
      <c r="D35" s="45"/>
    </row>
    <row r="38" spans="1:14" x14ac:dyDescent="0.25">
      <c r="A38" s="7" t="s">
        <v>34</v>
      </c>
    </row>
    <row r="39" spans="1:14" ht="15.75" customHeight="1" x14ac:dyDescent="0.25">
      <c r="A39" s="44" t="s">
        <v>33</v>
      </c>
      <c r="B39" s="44"/>
      <c r="C39" s="4"/>
      <c r="E39" s="50" t="s">
        <v>26</v>
      </c>
      <c r="F39" s="50"/>
      <c r="G39" s="46" t="s">
        <v>27</v>
      </c>
      <c r="H39" s="46"/>
      <c r="I39" s="5"/>
      <c r="J39" s="5"/>
    </row>
    <row r="40" spans="1:14" ht="15" customHeight="1" x14ac:dyDescent="0.25">
      <c r="A40" s="44"/>
      <c r="B40" s="44"/>
      <c r="D40" s="6"/>
      <c r="E40" s="43" t="s">
        <v>28</v>
      </c>
      <c r="F40" s="43"/>
      <c r="G40" s="43" t="s">
        <v>29</v>
      </c>
      <c r="H40" s="43"/>
      <c r="I40" s="5"/>
      <c r="J40" s="5"/>
    </row>
    <row r="41" spans="1:14" x14ac:dyDescent="0.25">
      <c r="A41" s="44"/>
      <c r="B41" s="44"/>
      <c r="D41" s="6"/>
      <c r="E41" s="43"/>
      <c r="F41" s="43"/>
      <c r="G41" s="43"/>
      <c r="H41" s="43"/>
      <c r="I41" s="5"/>
      <c r="J41" s="5"/>
    </row>
    <row r="42" spans="1:14" ht="15" customHeight="1" x14ac:dyDescent="0.25">
      <c r="A42" s="44"/>
      <c r="B42" s="44"/>
      <c r="D42" s="6"/>
      <c r="E42" s="43" t="s">
        <v>31</v>
      </c>
      <c r="F42" s="43"/>
      <c r="G42" s="43" t="s">
        <v>32</v>
      </c>
      <c r="H42" s="43"/>
      <c r="I42" s="5"/>
      <c r="J42" s="5"/>
    </row>
  </sheetData>
  <mergeCells count="99">
    <mergeCell ref="C5:E5"/>
    <mergeCell ref="E39:F39"/>
    <mergeCell ref="E40:F41"/>
    <mergeCell ref="F17:G17"/>
    <mergeCell ref="F18:G18"/>
    <mergeCell ref="F19:G19"/>
    <mergeCell ref="F20:G20"/>
    <mergeCell ref="F21:G21"/>
    <mergeCell ref="C17:D17"/>
    <mergeCell ref="C18:D18"/>
    <mergeCell ref="F27:G27"/>
    <mergeCell ref="A30:I31"/>
    <mergeCell ref="C23:D23"/>
    <mergeCell ref="F23:G23"/>
    <mergeCell ref="H23:I23"/>
    <mergeCell ref="A27:B27"/>
    <mergeCell ref="E42:F42"/>
    <mergeCell ref="A39:B42"/>
    <mergeCell ref="A25:B25"/>
    <mergeCell ref="C25:D25"/>
    <mergeCell ref="F25:G25"/>
    <mergeCell ref="B35:D35"/>
    <mergeCell ref="G39:H39"/>
    <mergeCell ref="G40:H41"/>
    <mergeCell ref="G42:H42"/>
    <mergeCell ref="F28:G28"/>
    <mergeCell ref="H28:I28"/>
    <mergeCell ref="H25:I25"/>
    <mergeCell ref="A26:B26"/>
    <mergeCell ref="C26:D26"/>
    <mergeCell ref="F26:G26"/>
    <mergeCell ref="H26:I26"/>
    <mergeCell ref="A1:I2"/>
    <mergeCell ref="H7:I7"/>
    <mergeCell ref="F7:G7"/>
    <mergeCell ref="D7:E7"/>
    <mergeCell ref="C22:D22"/>
    <mergeCell ref="F22:G22"/>
    <mergeCell ref="H22:I22"/>
    <mergeCell ref="H17:I17"/>
    <mergeCell ref="H18:I18"/>
    <mergeCell ref="H19:I19"/>
    <mergeCell ref="C3:E3"/>
    <mergeCell ref="C4:E4"/>
    <mergeCell ref="A17:B17"/>
    <mergeCell ref="A18:B18"/>
    <mergeCell ref="A15:B15"/>
    <mergeCell ref="C15:D15"/>
    <mergeCell ref="C27:D27"/>
    <mergeCell ref="A22:B22"/>
    <mergeCell ref="A23:B23"/>
    <mergeCell ref="H27:I27"/>
    <mergeCell ref="C19:D19"/>
    <mergeCell ref="C20:D20"/>
    <mergeCell ref="A24:B24"/>
    <mergeCell ref="A19:B19"/>
    <mergeCell ref="A20:B20"/>
    <mergeCell ref="A21:B21"/>
    <mergeCell ref="H20:I20"/>
    <mergeCell ref="H21:I21"/>
    <mergeCell ref="H24:I24"/>
    <mergeCell ref="C21:D21"/>
    <mergeCell ref="C24:D24"/>
    <mergeCell ref="F24:G24"/>
    <mergeCell ref="F15:G15"/>
    <mergeCell ref="H15:I15"/>
    <mergeCell ref="F16:G16"/>
    <mergeCell ref="H16:I16"/>
    <mergeCell ref="A16:B16"/>
    <mergeCell ref="C16:D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7:B7"/>
    <mergeCell ref="A8:B8"/>
    <mergeCell ref="C8:D8"/>
    <mergeCell ref="F8:G8"/>
    <mergeCell ref="H8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D10B-3611-4617-B9C4-511920169002}">
  <sheetPr>
    <tabColor rgb="FFFFCCFF"/>
  </sheetPr>
  <dimension ref="A1:I43"/>
  <sheetViews>
    <sheetView workbookViewId="0">
      <selection activeCell="H7" sqref="H7:I7"/>
    </sheetView>
  </sheetViews>
  <sheetFormatPr defaultRowHeight="15" x14ac:dyDescent="0.25"/>
  <cols>
    <col min="1" max="1" width="12.28515625" customWidth="1"/>
    <col min="2" max="2" width="11.85546875" customWidth="1"/>
    <col min="3" max="3" width="6.5703125" customWidth="1"/>
    <col min="4" max="4" width="6" customWidth="1"/>
    <col min="5" max="5" width="13.140625" customWidth="1"/>
    <col min="8" max="8" width="10" customWidth="1"/>
  </cols>
  <sheetData>
    <row r="1" spans="1:9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26.25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15.75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18.75" x14ac:dyDescent="0.3">
      <c r="C5" s="42" t="s">
        <v>40</v>
      </c>
      <c r="D5" s="42"/>
      <c r="E5" s="42"/>
      <c r="F5" s="16"/>
      <c r="G5" s="16"/>
      <c r="H5" s="16"/>
      <c r="I5" s="16"/>
    </row>
    <row r="6" spans="1:9" ht="16.5" thickBot="1" x14ac:dyDescent="0.3">
      <c r="C6" s="13"/>
      <c r="D6" s="13"/>
      <c r="E6" s="13"/>
    </row>
    <row r="7" spans="1:9" ht="21.75" thickBot="1" x14ac:dyDescent="0.4">
      <c r="A7" s="19" t="s">
        <v>16</v>
      </c>
      <c r="B7" s="20"/>
      <c r="C7" s="10" t="s">
        <v>18</v>
      </c>
      <c r="D7" s="38" t="s">
        <v>43</v>
      </c>
      <c r="E7" s="38"/>
      <c r="F7" s="40" t="s">
        <v>17</v>
      </c>
      <c r="G7" s="40"/>
      <c r="H7" s="38"/>
      <c r="I7" s="39"/>
    </row>
    <row r="8" spans="1:9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1490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29">
        <v>0</v>
      </c>
      <c r="D10" s="29"/>
      <c r="E10" s="3">
        <v>3200</v>
      </c>
      <c r="F10" s="26">
        <f t="shared" ref="F10" si="2">E10*C10</f>
        <v>0</v>
      </c>
      <c r="G10" s="26"/>
      <c r="H10" s="26">
        <f t="shared" ref="H10" si="3">F10*1.27</f>
        <v>0</v>
      </c>
      <c r="I10" s="26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280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1650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2100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29">
        <v>0</v>
      </c>
      <c r="D14" s="29"/>
      <c r="E14" s="3">
        <v>1980</v>
      </c>
      <c r="F14" s="26">
        <f t="shared" si="0"/>
        <v>0</v>
      </c>
      <c r="G14" s="26"/>
      <c r="H14" s="26">
        <f t="shared" si="1"/>
        <v>0</v>
      </c>
      <c r="I14" s="26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720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1880</v>
      </c>
      <c r="F16" s="26">
        <f t="shared" ref="F16" si="4">E16*C16</f>
        <v>0</v>
      </c>
      <c r="G16" s="26"/>
      <c r="H16" s="26">
        <f t="shared" ref="H16" si="5">F16*1.27</f>
        <v>0</v>
      </c>
      <c r="I16" s="26"/>
    </row>
    <row r="17" spans="1:9" ht="18" customHeight="1" x14ac:dyDescent="0.25">
      <c r="A17" s="27" t="s">
        <v>14</v>
      </c>
      <c r="B17" s="28"/>
      <c r="C17" s="29">
        <v>0</v>
      </c>
      <c r="D17" s="29"/>
      <c r="E17" s="3">
        <v>840</v>
      </c>
      <c r="F17" s="26">
        <f t="shared" si="0"/>
        <v>0</v>
      </c>
      <c r="G17" s="26"/>
      <c r="H17" s="31">
        <f t="shared" si="1"/>
        <v>0</v>
      </c>
      <c r="I17" s="31"/>
    </row>
    <row r="18" spans="1:9" ht="18" customHeight="1" x14ac:dyDescent="0.25">
      <c r="A18" s="27" t="s">
        <v>13</v>
      </c>
      <c r="B18" s="28"/>
      <c r="C18" s="29">
        <v>0</v>
      </c>
      <c r="D18" s="29"/>
      <c r="E18" s="3">
        <v>1060</v>
      </c>
      <c r="F18" s="26">
        <f t="shared" si="0"/>
        <v>0</v>
      </c>
      <c r="G18" s="26"/>
      <c r="H18" s="31">
        <f t="shared" si="1"/>
        <v>0</v>
      </c>
      <c r="I18" s="31"/>
    </row>
    <row r="19" spans="1:9" ht="18" customHeight="1" x14ac:dyDescent="0.25">
      <c r="A19" s="27" t="s">
        <v>15</v>
      </c>
      <c r="B19" s="28"/>
      <c r="C19" s="29">
        <v>0</v>
      </c>
      <c r="D19" s="29"/>
      <c r="E19" s="3">
        <v>840</v>
      </c>
      <c r="F19" s="26">
        <f t="shared" si="0"/>
        <v>0</v>
      </c>
      <c r="G19" s="26"/>
      <c r="H19" s="31">
        <f t="shared" si="1"/>
        <v>0</v>
      </c>
      <c r="I19" s="31"/>
    </row>
    <row r="20" spans="1:9" ht="18" customHeight="1" x14ac:dyDescent="0.25">
      <c r="A20" s="27" t="s">
        <v>19</v>
      </c>
      <c r="B20" s="28"/>
      <c r="C20" s="29">
        <v>0</v>
      </c>
      <c r="D20" s="29"/>
      <c r="E20" s="3">
        <v>1000</v>
      </c>
      <c r="F20" s="26">
        <f t="shared" si="0"/>
        <v>0</v>
      </c>
      <c r="G20" s="26"/>
      <c r="H20" s="31">
        <f t="shared" si="1"/>
        <v>0</v>
      </c>
      <c r="I20" s="31"/>
    </row>
    <row r="21" spans="1:9" ht="18" customHeight="1" x14ac:dyDescent="0.25">
      <c r="A21" s="27" t="s">
        <v>20</v>
      </c>
      <c r="B21" s="28"/>
      <c r="C21" s="29">
        <v>0</v>
      </c>
      <c r="D21" s="29"/>
      <c r="E21" s="3">
        <v>2100</v>
      </c>
      <c r="F21" s="26">
        <f t="shared" si="0"/>
        <v>0</v>
      </c>
      <c r="G21" s="26"/>
      <c r="H21" s="31">
        <f t="shared" si="1"/>
        <v>0</v>
      </c>
      <c r="I21" s="31"/>
    </row>
    <row r="22" spans="1:9" ht="18" customHeight="1" x14ac:dyDescent="0.25">
      <c r="A22" s="27" t="s">
        <v>21</v>
      </c>
      <c r="B22" s="28"/>
      <c r="C22" s="29">
        <v>0</v>
      </c>
      <c r="D22" s="29"/>
      <c r="E22" s="3">
        <v>2695</v>
      </c>
      <c r="F22" s="26">
        <f t="shared" si="0"/>
        <v>0</v>
      </c>
      <c r="G22" s="26"/>
      <c r="H22" s="31">
        <f t="shared" si="1"/>
        <v>0</v>
      </c>
      <c r="I22" s="31"/>
    </row>
    <row r="23" spans="1:9" ht="18" customHeight="1" x14ac:dyDescent="0.25">
      <c r="A23" s="27" t="s">
        <v>22</v>
      </c>
      <c r="B23" s="28"/>
      <c r="C23" s="29">
        <v>0</v>
      </c>
      <c r="D23" s="29"/>
      <c r="E23" s="3">
        <v>9275</v>
      </c>
      <c r="F23" s="26">
        <f t="shared" si="0"/>
        <v>0</v>
      </c>
      <c r="G23" s="26"/>
      <c r="H23" s="31">
        <f t="shared" si="1"/>
        <v>0</v>
      </c>
      <c r="I23" s="31"/>
    </row>
    <row r="24" spans="1:9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0"/>
        <v>0</v>
      </c>
      <c r="G24" s="26"/>
      <c r="H24" s="31">
        <f t="shared" si="1"/>
        <v>0</v>
      </c>
      <c r="I24" s="31"/>
    </row>
    <row r="25" spans="1:9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0"/>
        <v>0</v>
      </c>
      <c r="G25" s="26"/>
      <c r="H25" s="26">
        <f t="shared" si="1"/>
        <v>0</v>
      </c>
      <c r="I25" s="26"/>
    </row>
    <row r="26" spans="1:9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si="0"/>
        <v>0</v>
      </c>
      <c r="G26" s="26"/>
      <c r="H26" s="26">
        <f t="shared" si="1"/>
        <v>0</v>
      </c>
      <c r="I26" s="26"/>
    </row>
    <row r="27" spans="1:9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9" ht="21.75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31" spans="1:9" ht="15.75" thickBot="1" x14ac:dyDescent="0.3"/>
    <row r="32" spans="1:9" ht="27" customHeight="1" x14ac:dyDescent="0.25">
      <c r="A32" s="51" t="s">
        <v>25</v>
      </c>
      <c r="B32" s="52"/>
      <c r="C32" s="52"/>
      <c r="D32" s="52"/>
      <c r="E32" s="52"/>
      <c r="F32" s="52"/>
      <c r="G32" s="52"/>
      <c r="H32" s="52"/>
      <c r="I32" s="53"/>
    </row>
    <row r="33" spans="1:9" ht="15.75" thickBot="1" x14ac:dyDescent="0.3">
      <c r="A33" s="54"/>
      <c r="B33" s="55"/>
      <c r="C33" s="55"/>
      <c r="D33" s="55"/>
      <c r="E33" s="55"/>
      <c r="F33" s="55"/>
      <c r="G33" s="55"/>
      <c r="H33" s="55"/>
      <c r="I33" s="56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6" spans="1:9" x14ac:dyDescent="0.25">
      <c r="A36" s="7" t="s">
        <v>30</v>
      </c>
    </row>
    <row r="37" spans="1:9" x14ac:dyDescent="0.25">
      <c r="B37" s="45" t="s">
        <v>35</v>
      </c>
      <c r="C37" s="45"/>
      <c r="D37" s="45"/>
    </row>
    <row r="39" spans="1:9" x14ac:dyDescent="0.25">
      <c r="A39" s="7" t="s">
        <v>34</v>
      </c>
    </row>
    <row r="40" spans="1:9" ht="15.75" x14ac:dyDescent="0.25">
      <c r="A40" s="44" t="s">
        <v>33</v>
      </c>
      <c r="B40" s="44"/>
      <c r="C40" s="4"/>
      <c r="E40" s="50" t="s">
        <v>26</v>
      </c>
      <c r="F40" s="50"/>
      <c r="G40" s="46" t="s">
        <v>27</v>
      </c>
      <c r="H40" s="46"/>
      <c r="I40" s="5"/>
    </row>
    <row r="41" spans="1:9" x14ac:dyDescent="0.25">
      <c r="A41" s="44"/>
      <c r="B41" s="44"/>
      <c r="D41" s="6"/>
      <c r="E41" s="43" t="s">
        <v>28</v>
      </c>
      <c r="F41" s="43"/>
      <c r="G41" s="43" t="s">
        <v>29</v>
      </c>
      <c r="H41" s="43"/>
      <c r="I41" s="5"/>
    </row>
    <row r="42" spans="1:9" x14ac:dyDescent="0.25">
      <c r="A42" s="44"/>
      <c r="B42" s="44"/>
      <c r="D42" s="6"/>
      <c r="E42" s="43"/>
      <c r="F42" s="43"/>
      <c r="G42" s="43"/>
      <c r="H42" s="43"/>
      <c r="I42" s="5"/>
    </row>
    <row r="43" spans="1:9" x14ac:dyDescent="0.25">
      <c r="A43" s="44"/>
      <c r="B43" s="44"/>
      <c r="D43" s="6"/>
      <c r="E43" s="43" t="s">
        <v>31</v>
      </c>
      <c r="F43" s="43"/>
      <c r="G43" s="43" t="s">
        <v>32</v>
      </c>
      <c r="H43" s="43"/>
      <c r="I43" s="5"/>
    </row>
  </sheetData>
  <mergeCells count="99">
    <mergeCell ref="A32:I33"/>
    <mergeCell ref="B37:D37"/>
    <mergeCell ref="A40:B43"/>
    <mergeCell ref="E40:F40"/>
    <mergeCell ref="G40:H40"/>
    <mergeCell ref="E41:F42"/>
    <mergeCell ref="G41:H42"/>
    <mergeCell ref="E43:F43"/>
    <mergeCell ref="G43:H43"/>
    <mergeCell ref="A27:B27"/>
    <mergeCell ref="C27:D27"/>
    <mergeCell ref="F27:G27"/>
    <mergeCell ref="H27:I27"/>
    <mergeCell ref="F28:G28"/>
    <mergeCell ref="H28:I28"/>
    <mergeCell ref="A25:B25"/>
    <mergeCell ref="C25:D25"/>
    <mergeCell ref="F25:G25"/>
    <mergeCell ref="H25:I25"/>
    <mergeCell ref="A26:B26"/>
    <mergeCell ref="C26:D26"/>
    <mergeCell ref="F26:G26"/>
    <mergeCell ref="H26:I26"/>
    <mergeCell ref="A23:B23"/>
    <mergeCell ref="C23:D23"/>
    <mergeCell ref="F23:G23"/>
    <mergeCell ref="H23:I23"/>
    <mergeCell ref="A24:B24"/>
    <mergeCell ref="C24:D24"/>
    <mergeCell ref="F24:G24"/>
    <mergeCell ref="H24:I24"/>
    <mergeCell ref="A21:B21"/>
    <mergeCell ref="C21:D21"/>
    <mergeCell ref="F21:G21"/>
    <mergeCell ref="H21:I21"/>
    <mergeCell ref="A22:B22"/>
    <mergeCell ref="C22:D22"/>
    <mergeCell ref="F22:G22"/>
    <mergeCell ref="H22:I22"/>
    <mergeCell ref="A19:B19"/>
    <mergeCell ref="C19:D19"/>
    <mergeCell ref="F19:G19"/>
    <mergeCell ref="H19:I19"/>
    <mergeCell ref="A20:B20"/>
    <mergeCell ref="C20:D20"/>
    <mergeCell ref="F20:G20"/>
    <mergeCell ref="H20:I20"/>
    <mergeCell ref="A17:B17"/>
    <mergeCell ref="C17:D17"/>
    <mergeCell ref="F17:G17"/>
    <mergeCell ref="H17:I17"/>
    <mergeCell ref="A18:B18"/>
    <mergeCell ref="C18:D18"/>
    <mergeCell ref="F18:G18"/>
    <mergeCell ref="H18:I18"/>
    <mergeCell ref="A15:B15"/>
    <mergeCell ref="C15:D15"/>
    <mergeCell ref="F15:G15"/>
    <mergeCell ref="H15:I15"/>
    <mergeCell ref="A16:B16"/>
    <mergeCell ref="C16:D16"/>
    <mergeCell ref="F16:G16"/>
    <mergeCell ref="H16:I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8:B8"/>
    <mergeCell ref="C8:D8"/>
    <mergeCell ref="F8:G8"/>
    <mergeCell ref="H8:I8"/>
    <mergeCell ref="A1:I2"/>
    <mergeCell ref="A7:B7"/>
    <mergeCell ref="D7:E7"/>
    <mergeCell ref="F7:G7"/>
    <mergeCell ref="H7:I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C90B-040C-4020-9F7A-490AB06ABCF3}">
  <sheetPr>
    <tabColor theme="8" tint="0.59999389629810485"/>
  </sheetPr>
  <dimension ref="A1:I43"/>
  <sheetViews>
    <sheetView topLeftCell="A22" workbookViewId="0">
      <selection activeCell="F38" sqref="F38"/>
    </sheetView>
  </sheetViews>
  <sheetFormatPr defaultRowHeight="15" x14ac:dyDescent="0.25"/>
  <cols>
    <col min="1" max="1" width="10.5703125" customWidth="1"/>
    <col min="2" max="2" width="12.140625" customWidth="1"/>
    <col min="3" max="3" width="7" customWidth="1"/>
    <col min="4" max="4" width="7.140625" customWidth="1"/>
    <col min="5" max="5" width="12.28515625" customWidth="1"/>
    <col min="7" max="7" width="8.28515625" customWidth="1"/>
    <col min="8" max="8" width="10.5703125" customWidth="1"/>
  </cols>
  <sheetData>
    <row r="1" spans="1:9" ht="15" customHeight="1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customHeight="1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19.5" customHeight="1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20.25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19.5" customHeight="1" x14ac:dyDescent="0.3">
      <c r="C5" s="42" t="s">
        <v>40</v>
      </c>
      <c r="D5" s="42"/>
      <c r="E5" s="42"/>
      <c r="F5" s="16"/>
      <c r="G5" s="16"/>
      <c r="H5" s="16"/>
      <c r="I5" s="16"/>
    </row>
    <row r="6" spans="1:9" ht="19.5" customHeight="1" thickBot="1" x14ac:dyDescent="0.35">
      <c r="C6" s="17"/>
      <c r="D6" s="17"/>
      <c r="E6" s="17"/>
      <c r="F6" s="18"/>
      <c r="G6" s="18"/>
      <c r="H6" s="18"/>
      <c r="I6" s="18"/>
    </row>
    <row r="7" spans="1:9" ht="21.75" thickBot="1" x14ac:dyDescent="0.4">
      <c r="A7" s="19" t="s">
        <v>16</v>
      </c>
      <c r="B7" s="20"/>
      <c r="C7" s="10" t="s">
        <v>18</v>
      </c>
      <c r="D7" s="38" t="s">
        <v>41</v>
      </c>
      <c r="E7" s="38"/>
      <c r="F7" s="40" t="s">
        <v>17</v>
      </c>
      <c r="G7" s="40"/>
      <c r="H7" s="38" t="s">
        <v>44</v>
      </c>
      <c r="I7" s="39"/>
    </row>
    <row r="8" spans="1:9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2385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29">
        <v>0</v>
      </c>
      <c r="D10" s="29"/>
      <c r="E10" s="3">
        <v>5015</v>
      </c>
      <c r="F10" s="26">
        <f t="shared" ref="F10" si="2">E10*C10</f>
        <v>0</v>
      </c>
      <c r="G10" s="26"/>
      <c r="H10" s="26">
        <f t="shared" ref="H10" si="3">F10*1.27</f>
        <v>0</v>
      </c>
      <c r="I10" s="26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540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2245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2940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29">
        <v>0</v>
      </c>
      <c r="D14" s="29"/>
      <c r="E14" s="3">
        <v>2720</v>
      </c>
      <c r="F14" s="26">
        <f t="shared" si="0"/>
        <v>0</v>
      </c>
      <c r="G14" s="26"/>
      <c r="H14" s="26">
        <f t="shared" si="1"/>
        <v>0</v>
      </c>
      <c r="I14" s="26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900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2315</v>
      </c>
      <c r="F16" s="26">
        <f t="shared" ref="F16" si="4">E16*C16</f>
        <v>0</v>
      </c>
      <c r="G16" s="26"/>
      <c r="H16" s="26">
        <f t="shared" ref="H16" si="5">F16*1.27</f>
        <v>0</v>
      </c>
      <c r="I16" s="26"/>
    </row>
    <row r="17" spans="1:9" ht="18" customHeight="1" x14ac:dyDescent="0.25">
      <c r="A17" s="27" t="s">
        <v>14</v>
      </c>
      <c r="B17" s="28"/>
      <c r="C17" s="29">
        <v>0</v>
      </c>
      <c r="D17" s="29"/>
      <c r="E17" s="3">
        <v>1200</v>
      </c>
      <c r="F17" s="26">
        <f t="shared" si="0"/>
        <v>0</v>
      </c>
      <c r="G17" s="26"/>
      <c r="H17" s="31">
        <f t="shared" si="1"/>
        <v>0</v>
      </c>
      <c r="I17" s="31"/>
    </row>
    <row r="18" spans="1:9" ht="18" customHeight="1" x14ac:dyDescent="0.25">
      <c r="A18" s="27" t="s">
        <v>13</v>
      </c>
      <c r="B18" s="28"/>
      <c r="C18" s="29">
        <v>0</v>
      </c>
      <c r="D18" s="29"/>
      <c r="E18" s="3">
        <v>1400</v>
      </c>
      <c r="F18" s="26">
        <f t="shared" si="0"/>
        <v>0</v>
      </c>
      <c r="G18" s="26"/>
      <c r="H18" s="31">
        <f t="shared" si="1"/>
        <v>0</v>
      </c>
      <c r="I18" s="31"/>
    </row>
    <row r="19" spans="1:9" ht="18" customHeight="1" x14ac:dyDescent="0.25">
      <c r="A19" s="27" t="s">
        <v>15</v>
      </c>
      <c r="B19" s="28"/>
      <c r="C19" s="29">
        <v>0</v>
      </c>
      <c r="D19" s="29"/>
      <c r="E19" s="3">
        <v>1200</v>
      </c>
      <c r="F19" s="26">
        <f t="shared" si="0"/>
        <v>0</v>
      </c>
      <c r="G19" s="26"/>
      <c r="H19" s="31">
        <f t="shared" si="1"/>
        <v>0</v>
      </c>
      <c r="I19" s="31"/>
    </row>
    <row r="20" spans="1:9" ht="18" customHeight="1" x14ac:dyDescent="0.25">
      <c r="A20" s="27" t="s">
        <v>19</v>
      </c>
      <c r="B20" s="28"/>
      <c r="C20" s="29">
        <v>0</v>
      </c>
      <c r="D20" s="29"/>
      <c r="E20" s="3">
        <v>2100</v>
      </c>
      <c r="F20" s="26">
        <f t="shared" si="0"/>
        <v>0</v>
      </c>
      <c r="G20" s="26"/>
      <c r="H20" s="31">
        <f t="shared" si="1"/>
        <v>0</v>
      </c>
      <c r="I20" s="31"/>
    </row>
    <row r="21" spans="1:9" ht="18" customHeight="1" x14ac:dyDescent="0.25">
      <c r="A21" s="27" t="s">
        <v>20</v>
      </c>
      <c r="B21" s="28"/>
      <c r="C21" s="29">
        <v>0</v>
      </c>
      <c r="D21" s="29"/>
      <c r="E21" s="3">
        <v>1910</v>
      </c>
      <c r="F21" s="26">
        <f t="shared" si="0"/>
        <v>0</v>
      </c>
      <c r="G21" s="26"/>
      <c r="H21" s="31">
        <f t="shared" si="1"/>
        <v>0</v>
      </c>
      <c r="I21" s="31"/>
    </row>
    <row r="22" spans="1:9" ht="18" customHeight="1" x14ac:dyDescent="0.25">
      <c r="A22" s="27" t="s">
        <v>21</v>
      </c>
      <c r="B22" s="28"/>
      <c r="C22" s="29">
        <v>0</v>
      </c>
      <c r="D22" s="29"/>
      <c r="E22" s="3">
        <v>3235</v>
      </c>
      <c r="F22" s="26">
        <f t="shared" si="0"/>
        <v>0</v>
      </c>
      <c r="G22" s="26"/>
      <c r="H22" s="31">
        <f t="shared" si="1"/>
        <v>0</v>
      </c>
      <c r="I22" s="31"/>
    </row>
    <row r="23" spans="1:9" ht="18" customHeight="1" x14ac:dyDescent="0.25">
      <c r="A23" s="27" t="s">
        <v>22</v>
      </c>
      <c r="B23" s="28"/>
      <c r="C23" s="29">
        <v>0</v>
      </c>
      <c r="D23" s="29"/>
      <c r="E23" s="3">
        <v>11130</v>
      </c>
      <c r="F23" s="26">
        <f t="shared" si="0"/>
        <v>0</v>
      </c>
      <c r="G23" s="26"/>
      <c r="H23" s="31">
        <f t="shared" si="1"/>
        <v>0</v>
      </c>
      <c r="I23" s="31"/>
    </row>
    <row r="24" spans="1:9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0"/>
        <v>0</v>
      </c>
      <c r="G24" s="26"/>
      <c r="H24" s="31">
        <f t="shared" si="1"/>
        <v>0</v>
      </c>
      <c r="I24" s="31"/>
    </row>
    <row r="25" spans="1:9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0"/>
        <v>0</v>
      </c>
      <c r="G25" s="26"/>
      <c r="H25" s="26">
        <f t="shared" si="1"/>
        <v>0</v>
      </c>
      <c r="I25" s="26"/>
    </row>
    <row r="26" spans="1:9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si="0"/>
        <v>0</v>
      </c>
      <c r="G26" s="26"/>
      <c r="H26" s="26">
        <f t="shared" si="1"/>
        <v>0</v>
      </c>
      <c r="I26" s="26"/>
    </row>
    <row r="27" spans="1:9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9" ht="21.75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30" spans="1:9" ht="15.75" thickBot="1" x14ac:dyDescent="0.3"/>
    <row r="31" spans="1:9" ht="27" customHeight="1" x14ac:dyDescent="0.25">
      <c r="A31" s="51" t="s">
        <v>25</v>
      </c>
      <c r="B31" s="52"/>
      <c r="C31" s="52"/>
      <c r="D31" s="52"/>
      <c r="E31" s="52"/>
      <c r="F31" s="52"/>
      <c r="G31" s="52"/>
      <c r="H31" s="52"/>
      <c r="I31" s="53"/>
    </row>
    <row r="32" spans="1:9" ht="15.75" thickBot="1" x14ac:dyDescent="0.3">
      <c r="A32" s="54"/>
      <c r="B32" s="55"/>
      <c r="C32" s="55"/>
      <c r="D32" s="55"/>
      <c r="E32" s="55"/>
      <c r="F32" s="55"/>
      <c r="G32" s="55"/>
      <c r="H32" s="55"/>
      <c r="I32" s="56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5" spans="1:9" x14ac:dyDescent="0.25">
      <c r="A35" s="7" t="s">
        <v>30</v>
      </c>
    </row>
    <row r="36" spans="1:9" x14ac:dyDescent="0.25">
      <c r="B36" s="45" t="s">
        <v>35</v>
      </c>
      <c r="C36" s="45"/>
      <c r="D36" s="45"/>
    </row>
    <row r="39" spans="1:9" x14ac:dyDescent="0.25">
      <c r="A39" s="7" t="s">
        <v>34</v>
      </c>
    </row>
    <row r="40" spans="1:9" ht="15.75" x14ac:dyDescent="0.25">
      <c r="A40" s="44" t="s">
        <v>33</v>
      </c>
      <c r="B40" s="44"/>
      <c r="C40" s="4"/>
      <c r="E40" s="50" t="s">
        <v>26</v>
      </c>
      <c r="F40" s="50"/>
      <c r="G40" s="46" t="s">
        <v>27</v>
      </c>
      <c r="H40" s="46"/>
      <c r="I40" s="5"/>
    </row>
    <row r="41" spans="1:9" x14ac:dyDescent="0.25">
      <c r="A41" s="44"/>
      <c r="B41" s="44"/>
      <c r="D41" s="6"/>
      <c r="E41" s="43" t="s">
        <v>28</v>
      </c>
      <c r="F41" s="43"/>
      <c r="G41" s="43" t="s">
        <v>29</v>
      </c>
      <c r="H41" s="43"/>
      <c r="I41" s="5"/>
    </row>
    <row r="42" spans="1:9" x14ac:dyDescent="0.25">
      <c r="A42" s="44"/>
      <c r="B42" s="44"/>
      <c r="D42" s="6"/>
      <c r="E42" s="43"/>
      <c r="F42" s="43"/>
      <c r="G42" s="43"/>
      <c r="H42" s="43"/>
      <c r="I42" s="5"/>
    </row>
    <row r="43" spans="1:9" x14ac:dyDescent="0.25">
      <c r="A43" s="44"/>
      <c r="B43" s="44"/>
      <c r="D43" s="6"/>
      <c r="E43" s="43" t="s">
        <v>31</v>
      </c>
      <c r="F43" s="43"/>
      <c r="G43" s="43" t="s">
        <v>32</v>
      </c>
      <c r="H43" s="43"/>
      <c r="I43" s="5"/>
    </row>
  </sheetData>
  <mergeCells count="99">
    <mergeCell ref="A31:I32"/>
    <mergeCell ref="B36:D36"/>
    <mergeCell ref="A40:B43"/>
    <mergeCell ref="E40:F40"/>
    <mergeCell ref="G40:H40"/>
    <mergeCell ref="E41:F42"/>
    <mergeCell ref="G41:H42"/>
    <mergeCell ref="E43:F43"/>
    <mergeCell ref="G43:H43"/>
    <mergeCell ref="A27:B27"/>
    <mergeCell ref="C27:D27"/>
    <mergeCell ref="F27:G27"/>
    <mergeCell ref="H27:I27"/>
    <mergeCell ref="F28:G28"/>
    <mergeCell ref="H28:I28"/>
    <mergeCell ref="A25:B25"/>
    <mergeCell ref="C25:D25"/>
    <mergeCell ref="F25:G25"/>
    <mergeCell ref="H25:I25"/>
    <mergeCell ref="A26:B26"/>
    <mergeCell ref="C26:D26"/>
    <mergeCell ref="F26:G26"/>
    <mergeCell ref="H26:I26"/>
    <mergeCell ref="A23:B23"/>
    <mergeCell ref="C23:D23"/>
    <mergeCell ref="F23:G23"/>
    <mergeCell ref="H23:I23"/>
    <mergeCell ref="A24:B24"/>
    <mergeCell ref="C24:D24"/>
    <mergeCell ref="F24:G24"/>
    <mergeCell ref="H24:I24"/>
    <mergeCell ref="A21:B21"/>
    <mergeCell ref="C21:D21"/>
    <mergeCell ref="F21:G21"/>
    <mergeCell ref="H21:I21"/>
    <mergeCell ref="A22:B22"/>
    <mergeCell ref="C22:D22"/>
    <mergeCell ref="F22:G22"/>
    <mergeCell ref="H22:I22"/>
    <mergeCell ref="A19:B19"/>
    <mergeCell ref="C19:D19"/>
    <mergeCell ref="F19:G19"/>
    <mergeCell ref="H19:I19"/>
    <mergeCell ref="A20:B20"/>
    <mergeCell ref="C20:D20"/>
    <mergeCell ref="F20:G20"/>
    <mergeCell ref="H20:I20"/>
    <mergeCell ref="A17:B17"/>
    <mergeCell ref="C17:D17"/>
    <mergeCell ref="F17:G17"/>
    <mergeCell ref="H17:I17"/>
    <mergeCell ref="A18:B18"/>
    <mergeCell ref="C18:D18"/>
    <mergeCell ref="F18:G18"/>
    <mergeCell ref="H18:I18"/>
    <mergeCell ref="A15:B15"/>
    <mergeCell ref="C15:D15"/>
    <mergeCell ref="F15:G15"/>
    <mergeCell ref="H15:I15"/>
    <mergeCell ref="A16:B16"/>
    <mergeCell ref="C16:D16"/>
    <mergeCell ref="F16:G16"/>
    <mergeCell ref="H16:I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8:B8"/>
    <mergeCell ref="C8:D8"/>
    <mergeCell ref="F8:G8"/>
    <mergeCell ref="H8:I8"/>
    <mergeCell ref="A1:I2"/>
    <mergeCell ref="A7:B7"/>
    <mergeCell ref="D7:E7"/>
    <mergeCell ref="F7:G7"/>
    <mergeCell ref="H7:I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36AC-BF4A-438A-B28C-F61CB07A4982}">
  <sheetPr>
    <tabColor theme="8" tint="0.59999389629810485"/>
  </sheetPr>
  <dimension ref="A1:I44"/>
  <sheetViews>
    <sheetView workbookViewId="0">
      <selection activeCell="J19" sqref="J19"/>
    </sheetView>
  </sheetViews>
  <sheetFormatPr defaultRowHeight="15" x14ac:dyDescent="0.25"/>
  <cols>
    <col min="1" max="1" width="11.42578125" customWidth="1"/>
    <col min="2" max="2" width="11.28515625" customWidth="1"/>
    <col min="3" max="3" width="7.7109375" customWidth="1"/>
    <col min="4" max="4" width="6.85546875" customWidth="1"/>
    <col min="5" max="5" width="12.140625" customWidth="1"/>
  </cols>
  <sheetData>
    <row r="1" spans="1:9" x14ac:dyDescent="0.25">
      <c r="A1" s="32" t="s">
        <v>12</v>
      </c>
      <c r="B1" s="33"/>
      <c r="C1" s="33"/>
      <c r="D1" s="33"/>
      <c r="E1" s="33"/>
      <c r="F1" s="33"/>
      <c r="G1" s="33"/>
      <c r="H1" s="33"/>
      <c r="I1" s="34"/>
    </row>
    <row r="2" spans="1:9" ht="15.75" thickBot="1" x14ac:dyDescent="0.3">
      <c r="A2" s="35"/>
      <c r="B2" s="36"/>
      <c r="C2" s="36"/>
      <c r="D2" s="36"/>
      <c r="E2" s="36"/>
      <c r="F2" s="36"/>
      <c r="G2" s="36"/>
      <c r="H2" s="36"/>
      <c r="I2" s="37"/>
    </row>
    <row r="3" spans="1:9" ht="21.75" customHeight="1" x14ac:dyDescent="0.3">
      <c r="A3" s="12"/>
      <c r="B3" s="12"/>
      <c r="C3" s="41" t="s">
        <v>38</v>
      </c>
      <c r="D3" s="41"/>
      <c r="E3" s="41"/>
      <c r="F3" s="14"/>
      <c r="G3" s="14"/>
      <c r="H3" s="14"/>
      <c r="I3" s="14"/>
    </row>
    <row r="4" spans="1:9" ht="15.75" customHeight="1" x14ac:dyDescent="0.3">
      <c r="A4" s="12"/>
      <c r="B4" s="12"/>
      <c r="C4" s="42" t="s">
        <v>39</v>
      </c>
      <c r="D4" s="42"/>
      <c r="E4" s="42"/>
      <c r="F4" s="15"/>
      <c r="G4" s="15"/>
      <c r="H4" s="15"/>
      <c r="I4" s="15"/>
    </row>
    <row r="5" spans="1:9" ht="18.75" x14ac:dyDescent="0.3">
      <c r="C5" s="42" t="s">
        <v>40</v>
      </c>
      <c r="D5" s="42"/>
      <c r="E5" s="42"/>
      <c r="F5" s="16"/>
      <c r="G5" s="16"/>
      <c r="H5" s="16"/>
      <c r="I5" s="16"/>
    </row>
    <row r="6" spans="1:9" ht="15.75" thickBot="1" x14ac:dyDescent="0.3"/>
    <row r="7" spans="1:9" ht="21.75" thickBot="1" x14ac:dyDescent="0.4">
      <c r="A7" s="19" t="s">
        <v>16</v>
      </c>
      <c r="B7" s="20"/>
      <c r="C7" s="10" t="s">
        <v>18</v>
      </c>
      <c r="D7" s="38" t="s">
        <v>43</v>
      </c>
      <c r="E7" s="38"/>
      <c r="F7" s="40" t="s">
        <v>17</v>
      </c>
      <c r="G7" s="40"/>
      <c r="H7" s="38" t="s">
        <v>37</v>
      </c>
      <c r="I7" s="39"/>
    </row>
    <row r="8" spans="1:9" ht="18" customHeight="1" x14ac:dyDescent="0.25">
      <c r="A8" s="21"/>
      <c r="B8" s="21"/>
      <c r="C8" s="21"/>
      <c r="D8" s="21"/>
      <c r="E8" s="2" t="s">
        <v>0</v>
      </c>
      <c r="F8" s="22" t="s">
        <v>1</v>
      </c>
      <c r="G8" s="22"/>
      <c r="H8" s="22" t="s">
        <v>2</v>
      </c>
      <c r="I8" s="22"/>
    </row>
    <row r="9" spans="1:9" ht="18" customHeight="1" x14ac:dyDescent="0.25">
      <c r="A9" s="23" t="s">
        <v>3</v>
      </c>
      <c r="B9" s="24"/>
      <c r="C9" s="25">
        <v>0</v>
      </c>
      <c r="D9" s="25"/>
      <c r="E9" s="3">
        <v>1790</v>
      </c>
      <c r="F9" s="26">
        <f t="shared" ref="F9:F27" si="0">E9*C9</f>
        <v>0</v>
      </c>
      <c r="G9" s="26"/>
      <c r="H9" s="26">
        <f t="shared" ref="H9:H27" si="1">F9*1.27</f>
        <v>0</v>
      </c>
      <c r="I9" s="26"/>
    </row>
    <row r="10" spans="1:9" ht="18" customHeight="1" x14ac:dyDescent="0.25">
      <c r="A10" s="27" t="s">
        <v>8</v>
      </c>
      <c r="B10" s="28"/>
      <c r="C10" s="29">
        <v>0</v>
      </c>
      <c r="D10" s="29"/>
      <c r="E10" s="3">
        <v>3840</v>
      </c>
      <c r="F10" s="26">
        <f t="shared" si="0"/>
        <v>0</v>
      </c>
      <c r="G10" s="26"/>
      <c r="H10" s="26">
        <f t="shared" si="1"/>
        <v>0</v>
      </c>
      <c r="I10" s="26"/>
    </row>
    <row r="11" spans="1:9" ht="18" customHeight="1" x14ac:dyDescent="0.25">
      <c r="A11" s="27" t="s">
        <v>5</v>
      </c>
      <c r="B11" s="28"/>
      <c r="C11" s="29">
        <v>0</v>
      </c>
      <c r="D11" s="29"/>
      <c r="E11" s="3">
        <v>335</v>
      </c>
      <c r="F11" s="26">
        <f t="shared" si="0"/>
        <v>0</v>
      </c>
      <c r="G11" s="26"/>
      <c r="H11" s="26">
        <f t="shared" si="1"/>
        <v>0</v>
      </c>
      <c r="I11" s="26"/>
    </row>
    <row r="12" spans="1:9" ht="18" customHeight="1" x14ac:dyDescent="0.25">
      <c r="A12" s="27" t="s">
        <v>6</v>
      </c>
      <c r="B12" s="28"/>
      <c r="C12" s="29">
        <v>0</v>
      </c>
      <c r="D12" s="29"/>
      <c r="E12" s="3">
        <v>1980</v>
      </c>
      <c r="F12" s="26">
        <f t="shared" si="0"/>
        <v>0</v>
      </c>
      <c r="G12" s="26"/>
      <c r="H12" s="26">
        <f t="shared" si="1"/>
        <v>0</v>
      </c>
      <c r="I12" s="26"/>
    </row>
    <row r="13" spans="1:9" ht="18" customHeight="1" x14ac:dyDescent="0.25">
      <c r="A13" s="27" t="s">
        <v>7</v>
      </c>
      <c r="B13" s="28"/>
      <c r="C13" s="29">
        <v>0</v>
      </c>
      <c r="D13" s="29"/>
      <c r="E13" s="3">
        <v>2520</v>
      </c>
      <c r="F13" s="26">
        <f t="shared" si="0"/>
        <v>0</v>
      </c>
      <c r="G13" s="26"/>
      <c r="H13" s="26">
        <f t="shared" si="1"/>
        <v>0</v>
      </c>
      <c r="I13" s="26"/>
    </row>
    <row r="14" spans="1:9" ht="18" customHeight="1" x14ac:dyDescent="0.25">
      <c r="A14" s="27" t="s">
        <v>10</v>
      </c>
      <c r="B14" s="28"/>
      <c r="C14" s="29">
        <v>0</v>
      </c>
      <c r="D14" s="29"/>
      <c r="E14" s="3">
        <v>2375</v>
      </c>
      <c r="F14" s="26">
        <f t="shared" si="0"/>
        <v>0</v>
      </c>
      <c r="G14" s="26"/>
      <c r="H14" s="26">
        <f t="shared" si="1"/>
        <v>0</v>
      </c>
      <c r="I14" s="26"/>
    </row>
    <row r="15" spans="1:9" ht="18" customHeight="1" x14ac:dyDescent="0.25">
      <c r="A15" s="27" t="s">
        <v>9</v>
      </c>
      <c r="B15" s="28"/>
      <c r="C15" s="29">
        <v>0</v>
      </c>
      <c r="D15" s="29"/>
      <c r="E15" s="3">
        <v>865</v>
      </c>
      <c r="F15" s="26">
        <f t="shared" si="0"/>
        <v>0</v>
      </c>
      <c r="G15" s="26"/>
      <c r="H15" s="26">
        <f t="shared" si="1"/>
        <v>0</v>
      </c>
      <c r="I15" s="26"/>
    </row>
    <row r="16" spans="1:9" ht="18" customHeight="1" x14ac:dyDescent="0.25">
      <c r="A16" s="27" t="s">
        <v>4</v>
      </c>
      <c r="B16" s="28"/>
      <c r="C16" s="29">
        <v>0</v>
      </c>
      <c r="D16" s="29"/>
      <c r="E16" s="3">
        <v>2250</v>
      </c>
      <c r="F16" s="26">
        <f t="shared" si="0"/>
        <v>0</v>
      </c>
      <c r="G16" s="26"/>
      <c r="H16" s="26">
        <f t="shared" si="1"/>
        <v>0</v>
      </c>
      <c r="I16" s="26"/>
    </row>
    <row r="17" spans="1:9" ht="18" customHeight="1" x14ac:dyDescent="0.25">
      <c r="A17" s="27" t="s">
        <v>14</v>
      </c>
      <c r="B17" s="28"/>
      <c r="C17" s="29">
        <v>0</v>
      </c>
      <c r="D17" s="29"/>
      <c r="E17" s="3">
        <v>1010</v>
      </c>
      <c r="F17" s="26">
        <f t="shared" si="0"/>
        <v>0</v>
      </c>
      <c r="G17" s="26"/>
      <c r="H17" s="31">
        <f t="shared" si="1"/>
        <v>0</v>
      </c>
      <c r="I17" s="31"/>
    </row>
    <row r="18" spans="1:9" ht="18" customHeight="1" x14ac:dyDescent="0.25">
      <c r="A18" s="27" t="s">
        <v>13</v>
      </c>
      <c r="B18" s="28"/>
      <c r="C18" s="29">
        <v>0</v>
      </c>
      <c r="D18" s="29"/>
      <c r="E18" s="3">
        <v>1210</v>
      </c>
      <c r="F18" s="26">
        <f t="shared" si="0"/>
        <v>0</v>
      </c>
      <c r="G18" s="26"/>
      <c r="H18" s="31">
        <f t="shared" si="1"/>
        <v>0</v>
      </c>
      <c r="I18" s="31"/>
    </row>
    <row r="19" spans="1:9" ht="18" customHeight="1" x14ac:dyDescent="0.25">
      <c r="A19" s="27" t="s">
        <v>15</v>
      </c>
      <c r="B19" s="28"/>
      <c r="C19" s="29">
        <v>0</v>
      </c>
      <c r="D19" s="29"/>
      <c r="E19" s="3">
        <v>1010</v>
      </c>
      <c r="F19" s="26">
        <f t="shared" si="0"/>
        <v>0</v>
      </c>
      <c r="G19" s="26"/>
      <c r="H19" s="31">
        <f t="shared" si="1"/>
        <v>0</v>
      </c>
      <c r="I19" s="31"/>
    </row>
    <row r="20" spans="1:9" ht="18" customHeight="1" x14ac:dyDescent="0.25">
      <c r="A20" s="27" t="s">
        <v>19</v>
      </c>
      <c r="B20" s="28"/>
      <c r="C20" s="29">
        <v>0</v>
      </c>
      <c r="D20" s="29"/>
      <c r="E20" s="3">
        <v>1200</v>
      </c>
      <c r="F20" s="26">
        <f t="shared" si="0"/>
        <v>0</v>
      </c>
      <c r="G20" s="26"/>
      <c r="H20" s="31">
        <f t="shared" si="1"/>
        <v>0</v>
      </c>
      <c r="I20" s="31"/>
    </row>
    <row r="21" spans="1:9" ht="18" customHeight="1" x14ac:dyDescent="0.25">
      <c r="A21" s="27" t="s">
        <v>20</v>
      </c>
      <c r="B21" s="28"/>
      <c r="C21" s="29">
        <v>0</v>
      </c>
      <c r="D21" s="29"/>
      <c r="E21" s="3">
        <v>2520</v>
      </c>
      <c r="F21" s="26">
        <f t="shared" si="0"/>
        <v>0</v>
      </c>
      <c r="G21" s="26"/>
      <c r="H21" s="31">
        <f t="shared" si="1"/>
        <v>0</v>
      </c>
      <c r="I21" s="31"/>
    </row>
    <row r="22" spans="1:9" ht="18" customHeight="1" x14ac:dyDescent="0.25">
      <c r="A22" s="27" t="s">
        <v>21</v>
      </c>
      <c r="B22" s="28"/>
      <c r="C22" s="29">
        <v>0</v>
      </c>
      <c r="D22" s="29"/>
      <c r="E22" s="3">
        <v>3235</v>
      </c>
      <c r="F22" s="26">
        <f t="shared" si="0"/>
        <v>0</v>
      </c>
      <c r="G22" s="26"/>
      <c r="H22" s="31">
        <f t="shared" si="1"/>
        <v>0</v>
      </c>
      <c r="I22" s="31"/>
    </row>
    <row r="23" spans="1:9" ht="18" customHeight="1" x14ac:dyDescent="0.25">
      <c r="A23" s="27" t="s">
        <v>22</v>
      </c>
      <c r="B23" s="28"/>
      <c r="C23" s="29">
        <v>0</v>
      </c>
      <c r="D23" s="29"/>
      <c r="E23" s="3">
        <v>9275</v>
      </c>
      <c r="F23" s="26">
        <f t="shared" si="0"/>
        <v>0</v>
      </c>
      <c r="G23" s="26"/>
      <c r="H23" s="31">
        <f t="shared" si="1"/>
        <v>0</v>
      </c>
      <c r="I23" s="31"/>
    </row>
    <row r="24" spans="1:9" ht="18" customHeight="1" x14ac:dyDescent="0.25">
      <c r="A24" s="27" t="s">
        <v>23</v>
      </c>
      <c r="B24" s="28"/>
      <c r="C24" s="29">
        <v>0</v>
      </c>
      <c r="D24" s="29"/>
      <c r="E24" s="3">
        <v>15</v>
      </c>
      <c r="F24" s="26">
        <f t="shared" si="0"/>
        <v>0</v>
      </c>
      <c r="G24" s="26"/>
      <c r="H24" s="31">
        <f t="shared" si="1"/>
        <v>0</v>
      </c>
      <c r="I24" s="31"/>
    </row>
    <row r="25" spans="1:9" ht="18" customHeight="1" x14ac:dyDescent="0.25">
      <c r="A25" s="27" t="s">
        <v>24</v>
      </c>
      <c r="B25" s="28"/>
      <c r="C25" s="29">
        <v>0</v>
      </c>
      <c r="D25" s="29"/>
      <c r="E25" s="3">
        <v>2500</v>
      </c>
      <c r="F25" s="26">
        <f t="shared" si="0"/>
        <v>0</v>
      </c>
      <c r="G25" s="26"/>
      <c r="H25" s="26">
        <f t="shared" si="1"/>
        <v>0</v>
      </c>
      <c r="I25" s="26"/>
    </row>
    <row r="26" spans="1:9" ht="18" customHeight="1" x14ac:dyDescent="0.25">
      <c r="A26" s="27"/>
      <c r="B26" s="28"/>
      <c r="C26" s="29">
        <v>0</v>
      </c>
      <c r="D26" s="29"/>
      <c r="E26" s="3">
        <v>0</v>
      </c>
      <c r="F26" s="26">
        <f t="shared" si="0"/>
        <v>0</v>
      </c>
      <c r="G26" s="26"/>
      <c r="H26" s="26">
        <f t="shared" si="1"/>
        <v>0</v>
      </c>
      <c r="I26" s="26"/>
    </row>
    <row r="27" spans="1:9" ht="18" customHeight="1" thickBot="1" x14ac:dyDescent="0.3">
      <c r="A27" s="27"/>
      <c r="B27" s="28"/>
      <c r="C27" s="29">
        <v>0</v>
      </c>
      <c r="D27" s="29"/>
      <c r="E27" s="8">
        <v>0</v>
      </c>
      <c r="F27" s="30">
        <f t="shared" si="0"/>
        <v>0</v>
      </c>
      <c r="G27" s="30"/>
      <c r="H27" s="30">
        <f t="shared" si="1"/>
        <v>0</v>
      </c>
      <c r="I27" s="30"/>
    </row>
    <row r="28" spans="1:9" ht="21.75" thickBot="1" x14ac:dyDescent="0.3">
      <c r="A28" s="1"/>
      <c r="B28" s="1"/>
      <c r="C28" s="1"/>
      <c r="D28" s="1"/>
      <c r="E28" s="9" t="s">
        <v>11</v>
      </c>
      <c r="F28" s="47">
        <f>SUM(F9:G27)</f>
        <v>0</v>
      </c>
      <c r="G28" s="48"/>
      <c r="H28" s="47">
        <f>SUM(H9:I27)</f>
        <v>0</v>
      </c>
      <c r="I28" s="49"/>
    </row>
    <row r="31" spans="1:9" ht="15.75" thickBot="1" x14ac:dyDescent="0.3"/>
    <row r="32" spans="1:9" ht="23.25" customHeight="1" x14ac:dyDescent="0.25">
      <c r="A32" s="51" t="s">
        <v>25</v>
      </c>
      <c r="B32" s="52"/>
      <c r="C32" s="52"/>
      <c r="D32" s="52"/>
      <c r="E32" s="52"/>
      <c r="F32" s="52"/>
      <c r="G32" s="52"/>
      <c r="H32" s="52"/>
      <c r="I32" s="53"/>
    </row>
    <row r="33" spans="1:9" ht="15.75" thickBot="1" x14ac:dyDescent="0.3">
      <c r="A33" s="54"/>
      <c r="B33" s="55"/>
      <c r="C33" s="55"/>
      <c r="D33" s="55"/>
      <c r="E33" s="55"/>
      <c r="F33" s="55"/>
      <c r="G33" s="55"/>
      <c r="H33" s="55"/>
      <c r="I33" s="56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6" spans="1:9" x14ac:dyDescent="0.25">
      <c r="A36" s="7" t="s">
        <v>30</v>
      </c>
    </row>
    <row r="37" spans="1:9" x14ac:dyDescent="0.25">
      <c r="B37" s="45" t="s">
        <v>35</v>
      </c>
      <c r="C37" s="45"/>
      <c r="D37" s="45"/>
    </row>
    <row r="40" spans="1:9" x14ac:dyDescent="0.25">
      <c r="A40" s="7" t="s">
        <v>34</v>
      </c>
    </row>
    <row r="41" spans="1:9" ht="15.75" x14ac:dyDescent="0.25">
      <c r="A41" s="44" t="s">
        <v>33</v>
      </c>
      <c r="B41" s="44"/>
      <c r="C41" s="4"/>
      <c r="E41" s="50" t="s">
        <v>26</v>
      </c>
      <c r="F41" s="50"/>
      <c r="G41" s="46" t="s">
        <v>27</v>
      </c>
      <c r="H41" s="46"/>
      <c r="I41" s="5"/>
    </row>
    <row r="42" spans="1:9" x14ac:dyDescent="0.25">
      <c r="A42" s="44"/>
      <c r="B42" s="44"/>
      <c r="D42" s="6"/>
      <c r="E42" s="43" t="s">
        <v>28</v>
      </c>
      <c r="F42" s="43"/>
      <c r="G42" s="43" t="s">
        <v>29</v>
      </c>
      <c r="H42" s="43"/>
      <c r="I42" s="5"/>
    </row>
    <row r="43" spans="1:9" x14ac:dyDescent="0.25">
      <c r="A43" s="44"/>
      <c r="B43" s="44"/>
      <c r="D43" s="6"/>
      <c r="E43" s="43"/>
      <c r="F43" s="43"/>
      <c r="G43" s="43"/>
      <c r="H43" s="43"/>
      <c r="I43" s="5"/>
    </row>
    <row r="44" spans="1:9" x14ac:dyDescent="0.25">
      <c r="A44" s="44"/>
      <c r="B44" s="44"/>
      <c r="D44" s="6"/>
      <c r="E44" s="43" t="s">
        <v>31</v>
      </c>
      <c r="F44" s="43"/>
      <c r="G44" s="43" t="s">
        <v>32</v>
      </c>
      <c r="H44" s="43"/>
      <c r="I44" s="5"/>
    </row>
  </sheetData>
  <mergeCells count="99">
    <mergeCell ref="A32:I33"/>
    <mergeCell ref="B37:D37"/>
    <mergeCell ref="A41:B44"/>
    <mergeCell ref="E41:F41"/>
    <mergeCell ref="G41:H41"/>
    <mergeCell ref="E42:F43"/>
    <mergeCell ref="G42:H43"/>
    <mergeCell ref="E44:F44"/>
    <mergeCell ref="G44:H44"/>
    <mergeCell ref="A27:B27"/>
    <mergeCell ref="C27:D27"/>
    <mergeCell ref="F27:G27"/>
    <mergeCell ref="H27:I27"/>
    <mergeCell ref="F28:G28"/>
    <mergeCell ref="H28:I28"/>
    <mergeCell ref="A25:B25"/>
    <mergeCell ref="C25:D25"/>
    <mergeCell ref="F25:G25"/>
    <mergeCell ref="H25:I25"/>
    <mergeCell ref="A26:B26"/>
    <mergeCell ref="C26:D26"/>
    <mergeCell ref="F26:G26"/>
    <mergeCell ref="H26:I26"/>
    <mergeCell ref="A23:B23"/>
    <mergeCell ref="C23:D23"/>
    <mergeCell ref="F23:G23"/>
    <mergeCell ref="H23:I23"/>
    <mergeCell ref="A24:B24"/>
    <mergeCell ref="C24:D24"/>
    <mergeCell ref="F24:G24"/>
    <mergeCell ref="H24:I24"/>
    <mergeCell ref="A21:B21"/>
    <mergeCell ref="C21:D21"/>
    <mergeCell ref="F21:G21"/>
    <mergeCell ref="H21:I21"/>
    <mergeCell ref="A22:B22"/>
    <mergeCell ref="C22:D22"/>
    <mergeCell ref="F22:G22"/>
    <mergeCell ref="H22:I22"/>
    <mergeCell ref="A19:B19"/>
    <mergeCell ref="C19:D19"/>
    <mergeCell ref="F19:G19"/>
    <mergeCell ref="H19:I19"/>
    <mergeCell ref="A20:B20"/>
    <mergeCell ref="C20:D20"/>
    <mergeCell ref="F20:G20"/>
    <mergeCell ref="H20:I20"/>
    <mergeCell ref="A17:B17"/>
    <mergeCell ref="C17:D17"/>
    <mergeCell ref="F17:G17"/>
    <mergeCell ref="H17:I17"/>
    <mergeCell ref="A18:B18"/>
    <mergeCell ref="C18:D18"/>
    <mergeCell ref="F18:G18"/>
    <mergeCell ref="H18:I18"/>
    <mergeCell ref="A15:B15"/>
    <mergeCell ref="C15:D15"/>
    <mergeCell ref="F15:G15"/>
    <mergeCell ref="H15:I15"/>
    <mergeCell ref="A16:B16"/>
    <mergeCell ref="C16:D16"/>
    <mergeCell ref="F16:G16"/>
    <mergeCell ref="H16:I16"/>
    <mergeCell ref="A13:B13"/>
    <mergeCell ref="C13:D13"/>
    <mergeCell ref="F13:G13"/>
    <mergeCell ref="H13:I13"/>
    <mergeCell ref="A14:B14"/>
    <mergeCell ref="C14:D14"/>
    <mergeCell ref="F14:G14"/>
    <mergeCell ref="H14:I14"/>
    <mergeCell ref="A11:B11"/>
    <mergeCell ref="C11:D11"/>
    <mergeCell ref="F11:G11"/>
    <mergeCell ref="H11:I11"/>
    <mergeCell ref="A12:B12"/>
    <mergeCell ref="C12:D12"/>
    <mergeCell ref="F12:G12"/>
    <mergeCell ref="H12:I12"/>
    <mergeCell ref="A9:B9"/>
    <mergeCell ref="C9:D9"/>
    <mergeCell ref="F9:G9"/>
    <mergeCell ref="H9:I9"/>
    <mergeCell ref="A10:B10"/>
    <mergeCell ref="C10:D10"/>
    <mergeCell ref="F10:G10"/>
    <mergeCell ref="H10:I10"/>
    <mergeCell ref="A8:B8"/>
    <mergeCell ref="C8:D8"/>
    <mergeCell ref="F8:G8"/>
    <mergeCell ref="H8:I8"/>
    <mergeCell ref="A1:I2"/>
    <mergeCell ref="A7:B7"/>
    <mergeCell ref="D7:E7"/>
    <mergeCell ref="F7:G7"/>
    <mergeCell ref="H7:I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Horganyzott 33-as</vt:lpstr>
      <vt:lpstr>Horganyzott 25-ös</vt:lpstr>
      <vt:lpstr>Fényes 33-as</vt:lpstr>
      <vt:lpstr>Fényes 25-ös</vt:lpstr>
      <vt:lpstr>MAT 33-as</vt:lpstr>
      <vt:lpstr>MAT 25-ös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2026-02-07T07:08:24Z</cp:lastPrinted>
  <dcterms:created xsi:type="dcterms:W3CDTF">2026-01-20T07:38:57Z</dcterms:created>
  <dcterms:modified xsi:type="dcterms:W3CDTF">2026-05-26T14:30:14Z</dcterms:modified>
</cp:coreProperties>
</file>
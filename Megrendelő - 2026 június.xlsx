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Közös ide másolj mindent\sablonok ajánlathoz\"/>
    </mc:Choice>
  </mc:AlternateContent>
  <xr:revisionPtr revIDLastSave="0" documentId="13_ncr:1_{B0F11CEA-0ACE-40CE-8167-0A5A936EF5FD}" xr6:coauthVersionLast="47" xr6:coauthVersionMax="47" xr10:uidLastSave="{00000000-0000-0000-0000-000000000000}"/>
  <bookViews>
    <workbookView xWindow="-120" yWindow="-120" windowWidth="29040" windowHeight="15720" activeTab="1" xr2:uid="{EBE7AA5A-4A48-4E0D-A9CD-6F25985784F6}"/>
  </bookViews>
  <sheets>
    <sheet name="Cserepes + korcolt" sheetId="1" r:id="rId1"/>
    <sheet name="Trapézlemezek" sheetId="7" r:id="rId2"/>
    <sheet name="Kerités trapéz" sheetId="8" r:id="rId3"/>
    <sheet name="Trapéz többféle" sheetId="12" r:id="rId4"/>
    <sheet name="Trapéz + kerítéselem" sheetId="13" r:id="rId5"/>
    <sheet name="Keritéselemek" sheetId="10" r:id="rId6"/>
    <sheet name="Cserepes adatok" sheetId="5" r:id="rId7"/>
    <sheet name="Trapéz adatok" sheetId="6" r:id="rId8"/>
    <sheet name="Keritésadatok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3" l="1"/>
  <c r="F37" i="13"/>
  <c r="F38" i="13"/>
  <c r="F39" i="13"/>
  <c r="F40" i="13"/>
  <c r="F41" i="13"/>
  <c r="F42" i="13"/>
  <c r="F35" i="13"/>
  <c r="B42" i="13"/>
  <c r="E42" i="13" s="1"/>
  <c r="B36" i="13"/>
  <c r="E36" i="13" s="1"/>
  <c r="B37" i="13"/>
  <c r="E37" i="13" s="1"/>
  <c r="B38" i="13"/>
  <c r="B39" i="13"/>
  <c r="E39" i="13" s="1"/>
  <c r="B40" i="13"/>
  <c r="E40" i="13" s="1"/>
  <c r="B41" i="13"/>
  <c r="B35" i="13"/>
  <c r="E35" i="13" s="1"/>
  <c r="E8" i="13"/>
  <c r="E9" i="13"/>
  <c r="E10" i="13"/>
  <c r="E11" i="13"/>
  <c r="E12" i="13"/>
  <c r="E13" i="13"/>
  <c r="E14" i="13"/>
  <c r="E15" i="13"/>
  <c r="E16" i="13"/>
  <c r="E17" i="13"/>
  <c r="E18" i="13"/>
  <c r="E7" i="13"/>
  <c r="B8" i="12"/>
  <c r="B9" i="12"/>
  <c r="E9" i="12" s="1"/>
  <c r="B10" i="12"/>
  <c r="B11" i="12"/>
  <c r="E11" i="12" s="1"/>
  <c r="B12" i="12"/>
  <c r="E12" i="12" s="1"/>
  <c r="G12" i="12" s="1"/>
  <c r="H12" i="12" s="1"/>
  <c r="B13" i="12"/>
  <c r="E13" i="12" s="1"/>
  <c r="B14" i="12"/>
  <c r="B7" i="12"/>
  <c r="E7" i="12" s="1"/>
  <c r="B21" i="12"/>
  <c r="B22" i="12"/>
  <c r="E22" i="12" s="1"/>
  <c r="B23" i="12"/>
  <c r="B24" i="12"/>
  <c r="E24" i="12" s="1"/>
  <c r="B25" i="12"/>
  <c r="B26" i="12"/>
  <c r="E26" i="12" s="1"/>
  <c r="B27" i="12"/>
  <c r="B20" i="12"/>
  <c r="E20" i="12" s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7" i="7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B25" i="1"/>
  <c r="E25" i="1" s="1"/>
  <c r="B26" i="1"/>
  <c r="E26" i="1" s="1"/>
  <c r="B8" i="1"/>
  <c r="B9" i="1"/>
  <c r="B10" i="1"/>
  <c r="E10" i="1" s="1"/>
  <c r="B11" i="1"/>
  <c r="B12" i="1"/>
  <c r="B7" i="1"/>
  <c r="E12" i="1"/>
  <c r="E11" i="1"/>
  <c r="D29" i="13"/>
  <c r="F29" i="13" s="1"/>
  <c r="G29" i="13" s="1"/>
  <c r="D28" i="13"/>
  <c r="F28" i="13" s="1"/>
  <c r="G28" i="13" s="1"/>
  <c r="D27" i="13"/>
  <c r="D26" i="13"/>
  <c r="F26" i="13" s="1"/>
  <c r="G26" i="13" s="1"/>
  <c r="D25" i="13"/>
  <c r="F25" i="13" s="1"/>
  <c r="G25" i="13" s="1"/>
  <c r="D24" i="13"/>
  <c r="F24" i="13" s="1"/>
  <c r="G24" i="13" s="1"/>
  <c r="D23" i="13"/>
  <c r="F23" i="13" s="1"/>
  <c r="G23" i="13" s="1"/>
  <c r="D18" i="13"/>
  <c r="D17" i="13"/>
  <c r="D16" i="13"/>
  <c r="D15" i="13"/>
  <c r="F15" i="13" s="1"/>
  <c r="G15" i="13" s="1"/>
  <c r="D14" i="13"/>
  <c r="D13" i="13"/>
  <c r="D12" i="13"/>
  <c r="D11" i="13"/>
  <c r="F11" i="13" s="1"/>
  <c r="G11" i="13" s="1"/>
  <c r="D10" i="13"/>
  <c r="D9" i="13"/>
  <c r="D8" i="13"/>
  <c r="D7" i="13"/>
  <c r="E27" i="12"/>
  <c r="E25" i="12"/>
  <c r="E23" i="12"/>
  <c r="E21" i="12"/>
  <c r="F21" i="12"/>
  <c r="F22" i="12"/>
  <c r="F23" i="12"/>
  <c r="F24" i="12"/>
  <c r="F25" i="12"/>
  <c r="F26" i="12"/>
  <c r="F27" i="12"/>
  <c r="F28" i="12"/>
  <c r="F20" i="12"/>
  <c r="F56" i="13"/>
  <c r="H56" i="13" s="1"/>
  <c r="F55" i="13"/>
  <c r="H55" i="13" s="1"/>
  <c r="F54" i="13"/>
  <c r="H54" i="13" s="1"/>
  <c r="F53" i="13"/>
  <c r="H53" i="13" s="1"/>
  <c r="F52" i="13"/>
  <c r="H52" i="13" s="1"/>
  <c r="E41" i="13"/>
  <c r="E38" i="13"/>
  <c r="F45" i="12"/>
  <c r="H45" i="12" s="1"/>
  <c r="F44" i="12"/>
  <c r="H44" i="12" s="1"/>
  <c r="F43" i="12"/>
  <c r="H43" i="12" s="1"/>
  <c r="F42" i="12"/>
  <c r="H42" i="12" s="1"/>
  <c r="F41" i="12"/>
  <c r="H41" i="12" s="1"/>
  <c r="F40" i="12"/>
  <c r="H40" i="12" s="1"/>
  <c r="F39" i="12"/>
  <c r="H39" i="12" s="1"/>
  <c r="F38" i="12"/>
  <c r="H38" i="12" s="1"/>
  <c r="F37" i="12"/>
  <c r="H37" i="12" s="1"/>
  <c r="F36" i="12"/>
  <c r="H36" i="12" s="1"/>
  <c r="F35" i="12"/>
  <c r="H35" i="12" s="1"/>
  <c r="F34" i="12"/>
  <c r="H34" i="12" s="1"/>
  <c r="F33" i="12"/>
  <c r="H33" i="12" s="1"/>
  <c r="F32" i="12"/>
  <c r="H32" i="12" s="1"/>
  <c r="F15" i="12"/>
  <c r="F14" i="12"/>
  <c r="E14" i="12"/>
  <c r="F13" i="12"/>
  <c r="F12" i="12"/>
  <c r="F11" i="12"/>
  <c r="F10" i="12"/>
  <c r="E10" i="12"/>
  <c r="F9" i="12"/>
  <c r="F8" i="12"/>
  <c r="E8" i="12"/>
  <c r="G8" i="12" s="1"/>
  <c r="H8" i="12" s="1"/>
  <c r="F7" i="12"/>
  <c r="D26" i="10"/>
  <c r="D27" i="10"/>
  <c r="D28" i="10"/>
  <c r="D29" i="10"/>
  <c r="D30" i="10"/>
  <c r="D31" i="10"/>
  <c r="F30" i="10"/>
  <c r="G30" i="10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E24" i="1"/>
  <c r="F24" i="1"/>
  <c r="F25" i="1"/>
  <c r="F26" i="1"/>
  <c r="F33" i="1"/>
  <c r="H33" i="1" s="1"/>
  <c r="F35" i="1"/>
  <c r="H35" i="1"/>
  <c r="F36" i="1"/>
  <c r="H36" i="1" s="1"/>
  <c r="F37" i="1"/>
  <c r="H37" i="1" s="1"/>
  <c r="B26" i="8"/>
  <c r="E26" i="8" s="1"/>
  <c r="B25" i="8"/>
  <c r="E25" i="8" s="1"/>
  <c r="B24" i="8"/>
  <c r="E24" i="8" s="1"/>
  <c r="B23" i="8"/>
  <c r="E23" i="8" s="1"/>
  <c r="B22" i="8"/>
  <c r="E22" i="8" s="1"/>
  <c r="B21" i="8"/>
  <c r="E21" i="8" s="1"/>
  <c r="B20" i="8"/>
  <c r="E20" i="8" s="1"/>
  <c r="B19" i="8"/>
  <c r="E19" i="8" s="1"/>
  <c r="B18" i="8"/>
  <c r="E18" i="8" s="1"/>
  <c r="B17" i="8"/>
  <c r="E17" i="8" s="1"/>
  <c r="B16" i="8"/>
  <c r="E16" i="8" s="1"/>
  <c r="B15" i="8"/>
  <c r="E15" i="8" s="1"/>
  <c r="B14" i="8"/>
  <c r="E14" i="8" s="1"/>
  <c r="B13" i="8"/>
  <c r="E13" i="8" s="1"/>
  <c r="B12" i="8"/>
  <c r="E12" i="8" s="1"/>
  <c r="B11" i="8"/>
  <c r="E11" i="8" s="1"/>
  <c r="B10" i="8"/>
  <c r="E10" i="8" s="1"/>
  <c r="B9" i="8"/>
  <c r="E9" i="8" s="1"/>
  <c r="B8" i="8"/>
  <c r="E8" i="8" s="1"/>
  <c r="B7" i="8"/>
  <c r="E7" i="8" s="1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G39" i="13" l="1"/>
  <c r="H39" i="13" s="1"/>
  <c r="G42" i="13"/>
  <c r="H42" i="13" s="1"/>
  <c r="G41" i="13"/>
  <c r="H41" i="13" s="1"/>
  <c r="G37" i="13"/>
  <c r="H37" i="13" s="1"/>
  <c r="D30" i="13"/>
  <c r="F30" i="13" s="1"/>
  <c r="F27" i="13"/>
  <c r="G27" i="13" s="1"/>
  <c r="F9" i="13"/>
  <c r="G9" i="13" s="1"/>
  <c r="F13" i="13"/>
  <c r="G13" i="13" s="1"/>
  <c r="F17" i="13"/>
  <c r="G17" i="13" s="1"/>
  <c r="D19" i="13"/>
  <c r="F8" i="13"/>
  <c r="G8" i="13" s="1"/>
  <c r="F12" i="13"/>
  <c r="G12" i="13" s="1"/>
  <c r="F16" i="13"/>
  <c r="G16" i="13" s="1"/>
  <c r="F10" i="13"/>
  <c r="G10" i="13" s="1"/>
  <c r="F14" i="13"/>
  <c r="G14" i="13" s="1"/>
  <c r="F18" i="13"/>
  <c r="G18" i="13" s="1"/>
  <c r="E43" i="13"/>
  <c r="G43" i="13" s="1"/>
  <c r="H43" i="13" s="1"/>
  <c r="G35" i="13"/>
  <c r="H35" i="13" s="1"/>
  <c r="F7" i="13"/>
  <c r="G36" i="13"/>
  <c r="H36" i="13" s="1"/>
  <c r="G40" i="13"/>
  <c r="H40" i="13" s="1"/>
  <c r="G38" i="13"/>
  <c r="H38" i="13" s="1"/>
  <c r="F57" i="13"/>
  <c r="H57" i="13" s="1"/>
  <c r="G13" i="12"/>
  <c r="H13" i="12" s="1"/>
  <c r="G23" i="12"/>
  <c r="H23" i="12" s="1"/>
  <c r="G27" i="12"/>
  <c r="H27" i="12" s="1"/>
  <c r="G24" i="12"/>
  <c r="H24" i="12" s="1"/>
  <c r="G21" i="12"/>
  <c r="H21" i="12" s="1"/>
  <c r="G25" i="12"/>
  <c r="H25" i="12" s="1"/>
  <c r="G22" i="12"/>
  <c r="H22" i="12" s="1"/>
  <c r="G26" i="12"/>
  <c r="H26" i="12" s="1"/>
  <c r="G20" i="12"/>
  <c r="H20" i="12" s="1"/>
  <c r="E28" i="12"/>
  <c r="G28" i="12" s="1"/>
  <c r="G10" i="12"/>
  <c r="H10" i="12" s="1"/>
  <c r="G14" i="12"/>
  <c r="H14" i="12" s="1"/>
  <c r="G11" i="12"/>
  <c r="H11" i="12" s="1"/>
  <c r="F46" i="12"/>
  <c r="H46" i="12" s="1"/>
  <c r="G9" i="12"/>
  <c r="H9" i="12" s="1"/>
  <c r="E15" i="12"/>
  <c r="G15" i="12" s="1"/>
  <c r="G7" i="12"/>
  <c r="H7" i="12" s="1"/>
  <c r="G21" i="1"/>
  <c r="H21" i="1" s="1"/>
  <c r="G23" i="1"/>
  <c r="H23" i="1" s="1"/>
  <c r="G19" i="1"/>
  <c r="H19" i="1" s="1"/>
  <c r="G15" i="1"/>
  <c r="H15" i="1" s="1"/>
  <c r="G25" i="1"/>
  <c r="H25" i="1" s="1"/>
  <c r="G24" i="1"/>
  <c r="H24" i="1" s="1"/>
  <c r="G17" i="1"/>
  <c r="H17" i="1" s="1"/>
  <c r="G26" i="1"/>
  <c r="H26" i="1" s="1"/>
  <c r="G22" i="1"/>
  <c r="H22" i="1" s="1"/>
  <c r="G18" i="1"/>
  <c r="H18" i="1" s="1"/>
  <c r="G14" i="1"/>
  <c r="H14" i="1" s="1"/>
  <c r="G13" i="1"/>
  <c r="H13" i="1" s="1"/>
  <c r="G20" i="1"/>
  <c r="H20" i="1" s="1"/>
  <c r="G12" i="1"/>
  <c r="H12" i="1" s="1"/>
  <c r="G11" i="1"/>
  <c r="H11" i="1" s="1"/>
  <c r="G16" i="1"/>
  <c r="H16" i="1" s="1"/>
  <c r="G10" i="1"/>
  <c r="H10" i="1" s="1"/>
  <c r="G12" i="8"/>
  <c r="H12" i="8" s="1"/>
  <c r="G16" i="8"/>
  <c r="H16" i="8" s="1"/>
  <c r="G24" i="8"/>
  <c r="H24" i="8" s="1"/>
  <c r="G20" i="8"/>
  <c r="H20" i="8" s="1"/>
  <c r="G26" i="8"/>
  <c r="H26" i="8" s="1"/>
  <c r="G11" i="8"/>
  <c r="H11" i="8" s="1"/>
  <c r="G15" i="8"/>
  <c r="H15" i="8" s="1"/>
  <c r="G19" i="8"/>
  <c r="H19" i="8" s="1"/>
  <c r="G23" i="8"/>
  <c r="H23" i="8" s="1"/>
  <c r="G9" i="8"/>
  <c r="H9" i="8" s="1"/>
  <c r="G13" i="8"/>
  <c r="H13" i="8" s="1"/>
  <c r="G17" i="8"/>
  <c r="H17" i="8" s="1"/>
  <c r="G21" i="8"/>
  <c r="H21" i="8" s="1"/>
  <c r="G25" i="8"/>
  <c r="H25" i="8" s="1"/>
  <c r="G10" i="8"/>
  <c r="H10" i="8" s="1"/>
  <c r="G14" i="8"/>
  <c r="H14" i="8" s="1"/>
  <c r="G18" i="8"/>
  <c r="H18" i="8" s="1"/>
  <c r="G22" i="8"/>
  <c r="H22" i="8" s="1"/>
  <c r="G8" i="8"/>
  <c r="H8" i="8" s="1"/>
  <c r="G7" i="8"/>
  <c r="H7" i="8" s="1"/>
  <c r="E27" i="8"/>
  <c r="G27" i="8" s="1"/>
  <c r="H27" i="8" s="1"/>
  <c r="G30" i="13" l="1"/>
  <c r="D47" i="12"/>
  <c r="H47" i="12" s="1"/>
  <c r="F19" i="13"/>
  <c r="G19" i="13" s="1"/>
  <c r="G7" i="13"/>
  <c r="H28" i="12"/>
  <c r="H58" i="13"/>
  <c r="H15" i="12"/>
  <c r="F36" i="10"/>
  <c r="H36" i="10" s="1"/>
  <c r="F37" i="10"/>
  <c r="H37" i="10" s="1"/>
  <c r="F38" i="10"/>
  <c r="H38" i="10" s="1"/>
  <c r="F35" i="10"/>
  <c r="F31" i="10"/>
  <c r="G31" i="10" s="1"/>
  <c r="F29" i="10"/>
  <c r="G29" i="10" s="1"/>
  <c r="F28" i="10"/>
  <c r="G28" i="10" s="1"/>
  <c r="F27" i="10"/>
  <c r="G27" i="10" s="1"/>
  <c r="F26" i="10"/>
  <c r="G26" i="10" s="1"/>
  <c r="D25" i="10"/>
  <c r="E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F30" i="8"/>
  <c r="H30" i="8" s="1"/>
  <c r="F31" i="8"/>
  <c r="H31" i="8" s="1"/>
  <c r="F32" i="8"/>
  <c r="H32" i="8" s="1"/>
  <c r="F33" i="8"/>
  <c r="H33" i="8" s="1"/>
  <c r="F34" i="8"/>
  <c r="H34" i="8" s="1"/>
  <c r="F35" i="8"/>
  <c r="H35" i="8" s="1"/>
  <c r="F29" i="7"/>
  <c r="H29" i="7" s="1"/>
  <c r="F30" i="7"/>
  <c r="H30" i="7" s="1"/>
  <c r="F31" i="7"/>
  <c r="H31" i="7" s="1"/>
  <c r="F32" i="7"/>
  <c r="H32" i="7" s="1"/>
  <c r="F33" i="7"/>
  <c r="H33" i="7" s="1"/>
  <c r="F34" i="7"/>
  <c r="H34" i="7" s="1"/>
  <c r="F35" i="7"/>
  <c r="H35" i="7" s="1"/>
  <c r="F36" i="7"/>
  <c r="H36" i="7" s="1"/>
  <c r="F37" i="7"/>
  <c r="H37" i="7" s="1"/>
  <c r="F38" i="7"/>
  <c r="H38" i="7" s="1"/>
  <c r="F39" i="7"/>
  <c r="H39" i="7" s="1"/>
  <c r="F40" i="7"/>
  <c r="H40" i="7" s="1"/>
  <c r="F41" i="7"/>
  <c r="H41" i="7" s="1"/>
  <c r="F28" i="7"/>
  <c r="H28" i="7" s="1"/>
  <c r="F8" i="1"/>
  <c r="F9" i="1"/>
  <c r="F27" i="1"/>
  <c r="F7" i="1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7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F31" i="1"/>
  <c r="H31" i="1" s="1"/>
  <c r="F32" i="1"/>
  <c r="H32" i="1" s="1"/>
  <c r="F34" i="1"/>
  <c r="H34" i="1" s="1"/>
  <c r="F38" i="1"/>
  <c r="H38" i="1" s="1"/>
  <c r="F39" i="1"/>
  <c r="H39" i="1" s="1"/>
  <c r="F40" i="1"/>
  <c r="H40" i="1" s="1"/>
  <c r="F30" i="1"/>
  <c r="H30" i="1" s="1"/>
  <c r="E7" i="1"/>
  <c r="D58" i="13" l="1"/>
  <c r="F39" i="10"/>
  <c r="D32" i="10"/>
  <c r="F32" i="10" s="1"/>
  <c r="H35" i="10"/>
  <c r="F10" i="10"/>
  <c r="G10" i="10" s="1"/>
  <c r="F14" i="10"/>
  <c r="G14" i="10" s="1"/>
  <c r="F11" i="10"/>
  <c r="G11" i="10" s="1"/>
  <c r="F15" i="10"/>
  <c r="G15" i="10" s="1"/>
  <c r="F19" i="10"/>
  <c r="G19" i="10" s="1"/>
  <c r="F18" i="10"/>
  <c r="G18" i="10" s="1"/>
  <c r="D22" i="10"/>
  <c r="F8" i="10"/>
  <c r="G8" i="10" s="1"/>
  <c r="F12" i="10"/>
  <c r="G12" i="10" s="1"/>
  <c r="F16" i="10"/>
  <c r="G16" i="10" s="1"/>
  <c r="F20" i="10"/>
  <c r="G20" i="10" s="1"/>
  <c r="F25" i="10"/>
  <c r="F9" i="10"/>
  <c r="G9" i="10" s="1"/>
  <c r="F13" i="10"/>
  <c r="G13" i="10" s="1"/>
  <c r="F17" i="10"/>
  <c r="G17" i="10" s="1"/>
  <c r="F21" i="10"/>
  <c r="G21" i="10" s="1"/>
  <c r="F7" i="10"/>
  <c r="F36" i="8"/>
  <c r="F42" i="7"/>
  <c r="H42" i="7" s="1"/>
  <c r="F41" i="1"/>
  <c r="H41" i="1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H39" i="10" l="1"/>
  <c r="H36" i="8"/>
  <c r="D38" i="8"/>
  <c r="H38" i="8" s="1"/>
  <c r="G25" i="10"/>
  <c r="G7" i="10"/>
  <c r="F22" i="10"/>
  <c r="D41" i="10" s="1"/>
  <c r="H41" i="10" s="1"/>
  <c r="E25" i="7"/>
  <c r="G25" i="7" s="1"/>
  <c r="G7" i="7"/>
  <c r="H7" i="7" s="1"/>
  <c r="E9" i="1"/>
  <c r="G9" i="1" s="1"/>
  <c r="H9" i="1" s="1"/>
  <c r="E8" i="1"/>
  <c r="G8" i="1" s="1"/>
  <c r="H8" i="1" s="1"/>
  <c r="G7" i="1"/>
  <c r="H7" i="1" s="1"/>
  <c r="G32" i="10" l="1"/>
  <c r="G22" i="10"/>
  <c r="H25" i="7"/>
  <c r="H43" i="7" s="1"/>
  <c r="D43" i="7"/>
  <c r="E27" i="1"/>
  <c r="G27" i="1" s="1"/>
  <c r="H27" i="1" l="1"/>
  <c r="H42" i="1" s="1"/>
  <c r="D42" i="1"/>
</calcChain>
</file>

<file path=xl/sharedStrings.xml><?xml version="1.0" encoding="utf-8"?>
<sst xmlns="http://schemas.openxmlformats.org/spreadsheetml/2006/main" count="579" uniqueCount="175">
  <si>
    <t>Megrendelő</t>
  </si>
  <si>
    <t>Telefonszám</t>
  </si>
  <si>
    <t>Szállítási cím</t>
  </si>
  <si>
    <t>RSZ</t>
  </si>
  <si>
    <t>Rendelés</t>
  </si>
  <si>
    <t>dátuma</t>
  </si>
  <si>
    <t>Felület</t>
  </si>
  <si>
    <t>Nettó m2/egységár</t>
  </si>
  <si>
    <t>FILC</t>
  </si>
  <si>
    <t>Teljes szélesség (m)</t>
  </si>
  <si>
    <t>Hosszúság (m)</t>
  </si>
  <si>
    <t>Db</t>
  </si>
  <si>
    <t>m2 összesen</t>
  </si>
  <si>
    <t>Egységár (nettó)</t>
  </si>
  <si>
    <t>Összesen (nettó)</t>
  </si>
  <si>
    <t>Összesen (bruttó)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</si>
  <si>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</si>
  <si>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</si>
  <si>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</si>
  <si>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</si>
  <si>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</si>
  <si>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</si>
  <si>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</si>
  <si>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</si>
  <si>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</si>
  <si>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</si>
  <si>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</si>
  <si>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</si>
  <si>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</si>
  <si>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</si>
  <si>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</si>
  <si>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</si>
  <si>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</si>
  <si>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</si>
  <si>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</si>
  <si>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</si>
  <si>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Lemez</t>
  </si>
  <si>
    <t>FILC!</t>
  </si>
  <si>
    <t>ÖSSZESEN:</t>
  </si>
  <si>
    <t>TARTOZÉKOK</t>
  </si>
  <si>
    <t>Megnevezés</t>
  </si>
  <si>
    <t>db/m</t>
  </si>
  <si>
    <t>Kupás vég</t>
  </si>
  <si>
    <t>Fa csavar</t>
  </si>
  <si>
    <t>Fém csavar</t>
  </si>
  <si>
    <t>Fűzőcsavar</t>
  </si>
  <si>
    <t>Tetőfólia</t>
  </si>
  <si>
    <t>Kéményszegő</t>
  </si>
  <si>
    <t>Villanyszegő</t>
  </si>
  <si>
    <t>Hóvágó</t>
  </si>
  <si>
    <t>Oromszegő</t>
  </si>
  <si>
    <t>Falszegő</t>
  </si>
  <si>
    <t>ELŐLEG</t>
  </si>
  <si>
    <t>VÉGÖSSZEG</t>
  </si>
  <si>
    <t>Vápa</t>
  </si>
  <si>
    <t>ÖSSZESEN NETTÓ:</t>
  </si>
  <si>
    <t>Fordított  ÁFA</t>
  </si>
  <si>
    <t>ÖSSZESEN (bruttó)</t>
  </si>
  <si>
    <t>Méretbeli módosításra megrendeléstől számított 2 napon van belül lehetőseg! Ezután a méreteket elfogadottnak tekintjük, így méretek tekintetében reklamációt nem fogadunk el!</t>
  </si>
  <si>
    <t>Kiszállításnál sofőrünk egyedül megy, ezért a lepakoláshoz segitség szükséges!</t>
  </si>
  <si>
    <t>Név</t>
  </si>
  <si>
    <t>Teljes szélesség</t>
  </si>
  <si>
    <t>Hexa</t>
  </si>
  <si>
    <t>Szélességek</t>
  </si>
  <si>
    <t>0,4 mm</t>
  </si>
  <si>
    <t>0,45 mm</t>
  </si>
  <si>
    <t>0,5 mm</t>
  </si>
  <si>
    <t>0,6 mm</t>
  </si>
  <si>
    <t>0,7 mm</t>
  </si>
  <si>
    <t>Fényes</t>
  </si>
  <si>
    <t>Matt 2 oldalas</t>
  </si>
  <si>
    <t>Fényes 2 oldalas</t>
  </si>
  <si>
    <t>Egyoldalas</t>
  </si>
  <si>
    <t>Kétoldalas</t>
  </si>
  <si>
    <t>IGEN!</t>
  </si>
  <si>
    <t>NEM!</t>
  </si>
  <si>
    <t>Amalfi Plus</t>
  </si>
  <si>
    <t>Beskid Plus</t>
  </si>
  <si>
    <t>Bona Plus</t>
  </si>
  <si>
    <t>Lima Plus</t>
  </si>
  <si>
    <t>Perla Plus</t>
  </si>
  <si>
    <t>Vastagság</t>
  </si>
  <si>
    <t>Szín</t>
  </si>
  <si>
    <t>Standard matt</t>
  </si>
  <si>
    <t>T8 - MS</t>
  </si>
  <si>
    <t>Aranytölgy</t>
  </si>
  <si>
    <t>Dió</t>
  </si>
  <si>
    <t>Dió - L</t>
  </si>
  <si>
    <t>Aranytölgy -L</t>
  </si>
  <si>
    <t>Fenyő</t>
  </si>
  <si>
    <t>Mézéger</t>
  </si>
  <si>
    <t>Sonoma</t>
  </si>
  <si>
    <t xml:space="preserve">Szállítási és Tárolási útmutató
1. Megrendelt tételek átvétele
A Megrendelő és a Szállító együttesen köteles az áru átadásakor a minőségi és mennyiségi ellenőrzését
elvégezni.
1.1. Az árut a Szállító telephelyén a Megrendelő vagy annak meghatalmazottja veszi át az
árukiadótól:
A megrendelt tételeket a Megrendelő a Szállító árukiadójával együtt köteles a Szállító
telephelyén ellenőrizni az átadott áruk minőségét és mennyiségét. Amennyiben eltérést
tapasztal a Megrendelő köteles haladéktalanul írásban jelezni a minőségi vagy mennyiségi
kifogást a Szállító felé.
1.2. Az árut a Megrendelő vagy az általa meghatalmazottja az előre megjelölt helyen veszi át a
Szállító alkalmazottjától:
A megrendelt tételeket a Megrendelő a Szállító alkalmazottjával együtt köteles az áru
átvételének helyén ellenőrizni az átadott áruk minőségét és mennyiségét. Amennyiben eltérést
tapasztal a Megrendelő köteles haladéktalanul írásban jelezni a minőségi vagy mennyiségi
kifogást a Szállító felé.
1.3. Az árut egy harmadik fél (pl.: szállítmányozó) veszi át a Szállító telephelyén az árukiadótól:
A Megrendelő köteles a harmadik fél által leszállított áruk minőségét és mennyiségét a
harmadik féltől való átvétel pillanatában ellenőrizni. Amennyiben eltérést tapasztal a
Megrendelő köteles haladéktalanul írásban jelezni a minőségi vagy mennyiségi kifogást a
Szállító felé.
Az írásban tett mennyiségi kifogást a Szállító kivizsgálja és jogos mennyiségi kifogás esetén, a Szállító
köteles a hiányt a jogosság megállapításától számított 30 napon belül pótolni.
Az írásban tett minőségi kifogást a Szállító kivizsgálja és jogos minőségi kifogás esetén, a Szállító
köteles a kifogásolt minőségi eltérést a jogosság megállapításától számított 30 napon belül kompenzálni
vagy visszavásárolni.
2. Szállítás
A Szállító által gyártott trapézlemez, cserepeslemez, szendvicspanel, szelemen és síklemez termékek
szállítására egyedi szabályok vonatkoznak. A termék szállításának tervezésekor, illetve a termék
szállításának megkezdése előtt figyelembe kell venni a  szállítási útmutatóban leírt
szabályokat.
A közzétett szabályoktól való eltérés következtében felmerülő károkért és minőségromlásért a Szállító
nem vállal felelősséget.
3. Védőfólia eltávolítása
Amennyiben az áru felületét védő fólia védi, akkor a felületén lévő védőfóliát a tárolás megkezdésétől
számított négy héten belül, vagy a beépítéstől számított egy héten belül el kell távolítani.
4. Tárolás
Az áru kötegeket a helyszínre történő szállítás után nagy körültekintéssel és az alábbi szabályok
betartásával lehet úgy tárolni a felszerelésig, hogy az áru minősége ne romoljon. A következő
szabályoktól való eltérés esetén, a tárolásból eredő minőségromlásért és kárért a ReCOPYKft. (Simai úti lemezkereskedés)
nem vállal felelősséget.
4.1. A kötegeket védeni kell a csapadéktól, a páralecsapódásból eredő nedvesedéstől és általában a
nedvességtől.
4.2. A kötegeket enyhén megdöntve kell tárolni, hogy a véletlenül a panel kötegek közé kerülő víz el
tudjon folyni a panel felületéről.
4.3. A kötegek egymásra rakhatók, de arra figyelni kell, hogy a kötegeket elválasztó támaszok
pontosan egymás felett helyezkedjenek el. Figyelem! A támaszok megnyomhatják az áru felületét.
4.4. A szabad téren tárolt kötegeket vízálló ponyvával kell letakarni úgy, hogy sem a kötegek tetején,
sem a kötegek alatt nem gyűlhet össze a csapadékvíz.
4.5. A kötegek számára biztosítani kell az átszellőzést, így kivédhetők a páralecsapódásból eredő
nedvesedés okozta károk
5. Javaslatok a helyszínen történő szereléshez
A Metál-Sheet Kft. csupán a megrendelt áruk gyártására vállalkozik, nem vesz részt a szerelésben.
A szerelésről mindenképpen a vevőnek kell gondoskodni akár saját kivitelezésben, akár szerelésben
jártas vállalkozó, vállalkozás igénybe vételével.
A Metál-Sheet Kft. az alábbi szabályok betartására hívja fel a figyelmet a szerelés során:
5.1. A kivitelezőnek az összeszerelést meg kell terveznie és a biztonságért felelős személyt ki kell
jelölnie. A biztonságos szereléshez szükséges eszközöket, berendezéseket biztosítania kell a
helyszínen.
5.2. Amennyiben az árut a helyszínen vágni kell, tilos sarokköszörűt alkalmazni és kerülni kell a
vágókorongok alkalmazását is. Javasoljuk a lemezvágó ollót, szalagfűrészt, vagy lengő fűrészt.
5.3. Az áru felületéről minden vágásból, fúrásból eredő törmeléket el kell távolítani, hogy a felülete
ne sérüljön.
Aláírásommal igazolom, hogy a fentieket elolvastam, tudomásul vettem és elfogadom az azokban
leírtakat.
Kelt: ............................................................ megrendelő: ...............................
 </t>
  </si>
  <si>
    <t>Figyelem! Az útmutatótól eltérő TÁROLÁSBÓL vagy anyagmozgatásból eredő károkért a ReCOPY Kft. (Simai úti lemezkereskedés) nem vállal felelősséget! Tárolási útmutató a hátoldalon!</t>
  </si>
  <si>
    <t>Kerítéselem</t>
  </si>
  <si>
    <t>Méret</t>
  </si>
  <si>
    <t>Elite kerítéselem</t>
  </si>
  <si>
    <t>Lamellás kerítéselem</t>
  </si>
  <si>
    <t>Dobozos kerítéselem</t>
  </si>
  <si>
    <t>Íves domború</t>
  </si>
  <si>
    <t>Íves lapos</t>
  </si>
  <si>
    <t>Méretek</t>
  </si>
  <si>
    <t>10 cm</t>
  </si>
  <si>
    <t>12 cm</t>
  </si>
  <si>
    <t>14 cm</t>
  </si>
  <si>
    <t>15 cm</t>
  </si>
  <si>
    <t>16 cm</t>
  </si>
  <si>
    <t>11 cm - íves domború</t>
  </si>
  <si>
    <t>11,6 cm - íves lapos</t>
  </si>
  <si>
    <t>Kis opel csav.</t>
  </si>
  <si>
    <t>Rögzítő lapka</t>
  </si>
  <si>
    <r>
      <t xml:space="preserve">Méretbeli módosításra megrendeléstől számított 2 napon van belül lehetőseg! </t>
    </r>
    <r>
      <rPr>
        <b/>
        <sz val="12"/>
        <color rgb="FFFF0000"/>
        <rFont val="Calibri"/>
        <family val="2"/>
        <charset val="238"/>
        <scheme val="minor"/>
      </rPr>
      <t>Ezután a méreteket elfogadottnak tekintjük, így méretek tekintetében reklamációt nem fogadunk el!</t>
    </r>
  </si>
  <si>
    <t>m összesen</t>
  </si>
  <si>
    <t>Horganyzott</t>
  </si>
  <si>
    <t>"U" PROFILOK</t>
  </si>
  <si>
    <t>Síklemez</t>
  </si>
  <si>
    <t>Kiszállítás</t>
  </si>
  <si>
    <t>Kis opel csavar</t>
  </si>
  <si>
    <t>"J" szegő (m)</t>
  </si>
  <si>
    <t>Tetőfólia 130g</t>
  </si>
  <si>
    <t>Alucink</t>
  </si>
  <si>
    <t>Antracit famintás</t>
  </si>
  <si>
    <t>Fűző csavar</t>
  </si>
  <si>
    <t xml:space="preserve">Kupás </t>
  </si>
  <si>
    <t>ÁRUKIADÁS:</t>
  </si>
  <si>
    <t>Hétfő - Péntek 7:30 - 16:00          Szombat 07:30 - 12:00</t>
  </si>
  <si>
    <r>
      <t xml:space="preserve">Kerítéselemek (dobozos, lamellás, c-profil) </t>
    </r>
    <r>
      <rPr>
        <b/>
        <sz val="11"/>
        <color rgb="FFFF0000"/>
        <rFont val="Calibri"/>
        <family val="2"/>
        <charset val="238"/>
        <scheme val="minor"/>
      </rPr>
      <t>gyártási ideje: 4-5 hét</t>
    </r>
    <r>
      <rPr>
        <b/>
        <sz val="11"/>
        <color theme="1"/>
        <rFont val="Calibri"/>
        <family val="2"/>
        <charset val="238"/>
        <scheme val="minor"/>
      </rPr>
      <t xml:space="preserve"> !</t>
    </r>
  </si>
  <si>
    <t>Cseresznye</t>
  </si>
  <si>
    <t>Winchester</t>
  </si>
  <si>
    <t>Kupás 14x14</t>
  </si>
  <si>
    <t>T14 Saját gyártású</t>
  </si>
  <si>
    <t>T8 Saját gyártású</t>
  </si>
  <si>
    <t>T35 Saját gyártású</t>
  </si>
  <si>
    <t>C-profil (erősített)</t>
  </si>
  <si>
    <t>Nagy opel csav.</t>
  </si>
  <si>
    <t>ULTRA Matt</t>
  </si>
  <si>
    <t>MATT</t>
  </si>
  <si>
    <t>Profil szivacs</t>
  </si>
  <si>
    <t>Szegő</t>
  </si>
  <si>
    <t>Kupás</t>
  </si>
  <si>
    <t>Tetőkibúvó</t>
  </si>
  <si>
    <t>PDT-19</t>
  </si>
  <si>
    <t>PD-28/540</t>
  </si>
  <si>
    <t>Multigloss 1 oldalas</t>
  </si>
  <si>
    <t>Multigloss 2 oldalas</t>
  </si>
  <si>
    <t>0,38 mm</t>
  </si>
  <si>
    <t>T18 Saját gyártású</t>
  </si>
  <si>
    <t>T20/1120 MS</t>
  </si>
  <si>
    <t>T20/1160 MS</t>
  </si>
  <si>
    <t>T38 - MS</t>
  </si>
  <si>
    <t>T45 - MS</t>
  </si>
  <si>
    <t>T50 - MS</t>
  </si>
  <si>
    <t>T8 - Lengyel</t>
  </si>
  <si>
    <t>T14 - Lengyel</t>
  </si>
  <si>
    <t>T18 - Lengyel</t>
  </si>
  <si>
    <t>T35 - Lengyel</t>
  </si>
  <si>
    <t>T55  - Lengyel</t>
  </si>
  <si>
    <t>Sötét -kétoldalas</t>
  </si>
  <si>
    <t>Sötét - egyoldalas</t>
  </si>
  <si>
    <t>Világos -egyoldalas</t>
  </si>
  <si>
    <t>Shadora kerítéselem</t>
  </si>
  <si>
    <t>Lumea kerítéselem</t>
  </si>
  <si>
    <t>Pergolis kerítéselem</t>
  </si>
  <si>
    <t>Rendelés dátuma</t>
  </si>
  <si>
    <t>(m) összesen</t>
  </si>
  <si>
    <t>Hétfő - Péntek 7:30 - 16:00                   Szombat 07:30 - 12:00</t>
  </si>
  <si>
    <t>Hétfő - Péntek 7:30 - 16:00                Szombat 07:30 - 12:00</t>
  </si>
  <si>
    <t>Hétfő - Péntek 7:30 - 16:00              Szombat 07:30 - 12:00</t>
  </si>
  <si>
    <t>Hétfő - Péntek 7:30 - 16:00               Szombat 07:30 - 12:00</t>
  </si>
  <si>
    <t>T18 - ECO Lengyel</t>
  </si>
  <si>
    <t>Fényes 1 oldalas</t>
  </si>
  <si>
    <t>7,5 cm</t>
  </si>
  <si>
    <t>8 cm</t>
  </si>
  <si>
    <t>8,5 cm</t>
  </si>
  <si>
    <t>11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</si>
</sst>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Ft&quot;"/>
    <numFmt numFmtId="165" formatCode="General\ &quot;m&quot;"/>
    <numFmt numFmtId="166" formatCode="General\ &quot;db&quot;"/>
    <numFmt numFmtId="167" formatCode="General\ &quot;m2&quot;"/>
  </numFmts>
  <fonts count="32" x14ac:knownFonts="1">
    <font>
      <sz val="11"/>
      <color theme="1"/>
      <name val="Ubuntu"/>
      <family val="2"/>
      <charset val="238"/>
    </font>
    <font>
      <sz val="11"/>
      <color theme="1"/>
      <name val="Ubuntu"/>
      <family val="2"/>
      <charset val="238"/>
    </font>
    <font>
      <sz val="11"/>
      <color rgb="FF006100"/>
      <name val="Ubuntu"/>
      <family val="2"/>
      <charset val="238"/>
    </font>
    <font>
      <sz val="11"/>
      <color rgb="FF9C0006"/>
      <name val="Ubuntu"/>
      <family val="2"/>
      <charset val="238"/>
    </font>
    <font>
      <sz val="11"/>
      <color rgb="FF9C5700"/>
      <name val="Ubuntu"/>
      <family val="2"/>
      <charset val="238"/>
    </font>
    <font>
      <sz val="11"/>
      <color rgb="FF3F3F76"/>
      <name val="Ubuntu"/>
      <family val="2"/>
      <charset val="238"/>
    </font>
    <font>
      <b/>
      <sz val="11"/>
      <color theme="1"/>
      <name val="Ubuntu"/>
      <family val="2"/>
      <charset val="238"/>
    </font>
    <font>
      <b/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name val="Ubuntu"/>
      <family val="2"/>
      <charset val="238"/>
    </font>
    <font>
      <b/>
      <sz val="11"/>
      <color rgb="FF9C5700"/>
      <name val="Ubuntu"/>
      <family val="2"/>
      <charset val="238"/>
    </font>
    <font>
      <b/>
      <sz val="11"/>
      <color rgb="FF006100"/>
      <name val="Ubuntu"/>
      <family val="2"/>
      <charset val="238"/>
    </font>
    <font>
      <b/>
      <sz val="11"/>
      <color rgb="FF9C0006"/>
      <name val="Ubuntu"/>
      <family val="2"/>
      <charset val="238"/>
    </font>
    <font>
      <sz val="11"/>
      <color rgb="FF002060"/>
      <name val="Ubuntu"/>
      <family val="2"/>
      <charset val="238"/>
    </font>
    <font>
      <b/>
      <sz val="11"/>
      <color rgb="FF002060"/>
      <name val="Ubuntu"/>
      <family val="2"/>
      <charset val="238"/>
    </font>
    <font>
      <b/>
      <sz val="11"/>
      <color rgb="FF3F3F76"/>
      <name val="Ubuntu"/>
      <family val="2"/>
      <charset val="238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i/>
      <sz val="14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0" applyNumberFormat="0" applyBorder="0" applyAlignment="0" applyProtection="0"/>
  </cellStyleXfs>
  <cellXfs count="244">
    <xf numFmtId="0" fontId="0" fillId="0" borderId="0" xfId="0"/>
    <xf numFmtId="0" fontId="0" fillId="0" borderId="0" xfId="0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6" fillId="0" borderId="0" xfId="0" applyFont="1"/>
    <xf numFmtId="0" fontId="12" fillId="4" borderId="5" xfId="3" applyFont="1" applyBorder="1"/>
    <xf numFmtId="0" fontId="4" fillId="4" borderId="5" xfId="3" applyBorder="1"/>
    <xf numFmtId="0" fontId="13" fillId="2" borderId="5" xfId="1" applyFont="1" applyBorder="1"/>
    <xf numFmtId="0" fontId="3" fillId="3" borderId="5" xfId="2" applyBorder="1"/>
    <xf numFmtId="0" fontId="4" fillId="4" borderId="5" xfId="3" applyBorder="1" applyAlignment="1">
      <alignment horizontal="center"/>
    </xf>
    <xf numFmtId="0" fontId="2" fillId="2" borderId="5" xfId="1" applyBorder="1" applyAlignment="1">
      <alignment horizontal="center"/>
    </xf>
    <xf numFmtId="0" fontId="14" fillId="3" borderId="5" xfId="2" applyFont="1" applyBorder="1" applyAlignment="1">
      <alignment horizontal="center"/>
    </xf>
    <xf numFmtId="0" fontId="16" fillId="6" borderId="5" xfId="5" applyFont="1" applyBorder="1" applyAlignment="1">
      <alignment horizontal="center"/>
    </xf>
    <xf numFmtId="0" fontId="15" fillId="6" borderId="5" xfId="5" applyFont="1" applyBorder="1" applyAlignment="1">
      <alignment horizontal="center"/>
    </xf>
    <xf numFmtId="0" fontId="5" fillId="5" borderId="1" xfId="4" applyAlignment="1">
      <alignment horizontal="center"/>
    </xf>
    <xf numFmtId="0" fontId="17" fillId="5" borderId="1" xfId="4" applyFont="1" applyAlignment="1">
      <alignment horizontal="center"/>
    </xf>
    <xf numFmtId="0" fontId="19" fillId="0" borderId="5" xfId="0" applyFont="1" applyBorder="1"/>
    <xf numFmtId="0" fontId="4" fillId="4" borderId="0" xfId="3"/>
    <xf numFmtId="0" fontId="5" fillId="5" borderId="1" xfId="4"/>
    <xf numFmtId="0" fontId="10" fillId="0" borderId="0" xfId="0" applyFont="1" applyAlignment="1">
      <alignment wrapText="1"/>
    </xf>
    <xf numFmtId="0" fontId="2" fillId="2" borderId="5" xfId="1" applyBorder="1"/>
    <xf numFmtId="0" fontId="0" fillId="0" borderId="0" xfId="0" applyAlignment="1">
      <alignment vertical="center"/>
    </xf>
    <xf numFmtId="0" fontId="5" fillId="5" borderId="1" xfId="4" applyAlignment="1">
      <alignment horizontal="left"/>
    </xf>
    <xf numFmtId="165" fontId="10" fillId="0" borderId="5" xfId="0" applyNumberFormat="1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66" fontId="18" fillId="0" borderId="5" xfId="0" applyNumberFormat="1" applyFont="1" applyBorder="1" applyAlignment="1">
      <alignment horizontal="center"/>
    </xf>
    <xf numFmtId="166" fontId="18" fillId="0" borderId="5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center"/>
    </xf>
    <xf numFmtId="0" fontId="4" fillId="4" borderId="19" xfId="3" applyBorder="1"/>
    <xf numFmtId="0" fontId="10" fillId="0" borderId="0" xfId="0" applyFont="1" applyAlignment="1">
      <alignment horizontal="center" wrapText="1"/>
    </xf>
    <xf numFmtId="167" fontId="9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9" fillId="0" borderId="0" xfId="0" applyFont="1"/>
    <xf numFmtId="0" fontId="19" fillId="0" borderId="10" xfId="0" applyFont="1" applyBorder="1"/>
    <xf numFmtId="0" fontId="25" fillId="0" borderId="2" xfId="0" applyFont="1" applyBorder="1"/>
    <xf numFmtId="0" fontId="19" fillId="0" borderId="2" xfId="0" applyFont="1" applyBorder="1"/>
    <xf numFmtId="0" fontId="25" fillId="0" borderId="3" xfId="0" applyFont="1" applyBorder="1"/>
    <xf numFmtId="0" fontId="19" fillId="0" borderId="3" xfId="0" applyFont="1" applyBorder="1"/>
    <xf numFmtId="0" fontId="25" fillId="0" borderId="4" xfId="0" applyFont="1" applyBorder="1"/>
    <xf numFmtId="0" fontId="19" fillId="0" borderId="4" xfId="0" applyFont="1" applyBorder="1"/>
    <xf numFmtId="0" fontId="27" fillId="0" borderId="14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9" fillId="0" borderId="15" xfId="0" applyFont="1" applyBorder="1"/>
    <xf numFmtId="0" fontId="9" fillId="0" borderId="14" xfId="0" applyFont="1" applyBorder="1" applyAlignment="1">
      <alignment horizontal="center"/>
    </xf>
    <xf numFmtId="0" fontId="18" fillId="0" borderId="5" xfId="0" applyFont="1" applyBorder="1"/>
    <xf numFmtId="0" fontId="9" fillId="0" borderId="16" xfId="0" applyFont="1" applyBorder="1" applyAlignment="1">
      <alignment horizontal="center" vertical="top"/>
    </xf>
    <xf numFmtId="0" fontId="19" fillId="0" borderId="9" xfId="0" applyFont="1" applyBorder="1"/>
    <xf numFmtId="0" fontId="27" fillId="0" borderId="5" xfId="0" applyFont="1" applyBorder="1" applyAlignment="1">
      <alignment horizontal="center"/>
    </xf>
    <xf numFmtId="0" fontId="27" fillId="0" borderId="5" xfId="0" applyFont="1" applyBorder="1"/>
    <xf numFmtId="164" fontId="21" fillId="0" borderId="5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65" fontId="19" fillId="0" borderId="5" xfId="0" applyNumberFormat="1" applyFont="1" applyBorder="1" applyAlignment="1">
      <alignment horizontal="center" vertical="center"/>
    </xf>
    <xf numFmtId="166" fontId="19" fillId="0" borderId="5" xfId="0" applyNumberFormat="1" applyFont="1" applyBorder="1" applyAlignment="1">
      <alignment horizontal="center" vertical="center"/>
    </xf>
    <xf numFmtId="164" fontId="19" fillId="0" borderId="5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/>
    </xf>
    <xf numFmtId="167" fontId="21" fillId="0" borderId="5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0" fontId="18" fillId="0" borderId="9" xfId="0" applyFont="1" applyBorder="1"/>
    <xf numFmtId="167" fontId="27" fillId="0" borderId="5" xfId="0" applyNumberFormat="1" applyFont="1" applyBorder="1" applyAlignment="1">
      <alignment horizontal="center" vertical="center"/>
    </xf>
    <xf numFmtId="164" fontId="27" fillId="0" borderId="5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14" fontId="7" fillId="0" borderId="12" xfId="0" applyNumberFormat="1" applyFont="1" applyBorder="1"/>
    <xf numFmtId="0" fontId="7" fillId="0" borderId="12" xfId="0" applyFont="1" applyBorder="1"/>
    <xf numFmtId="0" fontId="7" fillId="0" borderId="13" xfId="0" applyFont="1" applyBorder="1"/>
    <xf numFmtId="0" fontId="31" fillId="0" borderId="4" xfId="0" applyFont="1" applyBorder="1"/>
    <xf numFmtId="0" fontId="21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/>
    </xf>
    <xf numFmtId="0" fontId="7" fillId="8" borderId="19" xfId="0" applyFont="1" applyFill="1" applyBorder="1"/>
    <xf numFmtId="0" fontId="7" fillId="8" borderId="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vertical="center"/>
    </xf>
    <xf numFmtId="0" fontId="7" fillId="8" borderId="7" xfId="0" applyFont="1" applyFill="1" applyBorder="1" applyAlignment="1">
      <alignment horizontal="center" vertical="center"/>
    </xf>
    <xf numFmtId="0" fontId="19" fillId="0" borderId="12" xfId="0" applyFont="1" applyBorder="1"/>
    <xf numFmtId="0" fontId="19" fillId="0" borderId="13" xfId="0" applyFont="1" applyBorder="1"/>
    <xf numFmtId="0" fontId="19" fillId="0" borderId="17" xfId="0" applyFont="1" applyBorder="1"/>
    <xf numFmtId="0" fontId="27" fillId="0" borderId="0" xfId="0" applyFont="1" applyAlignment="1">
      <alignment horizontal="center"/>
    </xf>
    <xf numFmtId="0" fontId="18" fillId="0" borderId="17" xfId="0" applyFont="1" applyBorder="1"/>
    <xf numFmtId="0" fontId="18" fillId="0" borderId="0" xfId="0" applyFont="1" applyAlignment="1">
      <alignment vertical="center"/>
    </xf>
    <xf numFmtId="0" fontId="18" fillId="0" borderId="0" xfId="0" applyFont="1"/>
    <xf numFmtId="0" fontId="21" fillId="0" borderId="5" xfId="0" applyFont="1" applyBorder="1"/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1" fillId="0" borderId="0" xfId="0" applyFont="1"/>
    <xf numFmtId="0" fontId="21" fillId="0" borderId="10" xfId="0" applyFont="1" applyBorder="1"/>
    <xf numFmtId="0" fontId="21" fillId="0" borderId="0" xfId="0" applyFont="1" applyAlignment="1">
      <alignment vertical="center" wrapText="1"/>
    </xf>
    <xf numFmtId="0" fontId="21" fillId="0" borderId="0" xfId="0" applyFont="1" applyAlignment="1">
      <alignment wrapText="1"/>
    </xf>
    <xf numFmtId="0" fontId="21" fillId="0" borderId="10" xfId="0" applyFont="1" applyBorder="1" applyAlignment="1">
      <alignment wrapText="1"/>
    </xf>
    <xf numFmtId="0" fontId="19" fillId="0" borderId="29" xfId="0" applyFont="1" applyBorder="1"/>
    <xf numFmtId="164" fontId="21" fillId="0" borderId="14" xfId="0" applyNumberFormat="1" applyFont="1" applyBorder="1" applyAlignment="1">
      <alignment horizontal="center" vertical="center"/>
    </xf>
    <xf numFmtId="166" fontId="19" fillId="0" borderId="5" xfId="0" applyNumberFormat="1" applyFont="1" applyBorder="1" applyAlignment="1">
      <alignment horizontal="center"/>
    </xf>
    <xf numFmtId="0" fontId="20" fillId="0" borderId="16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19" fillId="0" borderId="16" xfId="0" applyFont="1" applyBorder="1"/>
    <xf numFmtId="165" fontId="21" fillId="0" borderId="1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9" fillId="0" borderId="16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9" fillId="7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0" fontId="21" fillId="8" borderId="17" xfId="0" applyFont="1" applyFill="1" applyBorder="1" applyAlignment="1">
      <alignment horizontal="center"/>
    </xf>
    <xf numFmtId="0" fontId="21" fillId="8" borderId="18" xfId="0" applyFont="1" applyFill="1" applyBorder="1" applyAlignment="1">
      <alignment horizontal="center"/>
    </xf>
    <xf numFmtId="0" fontId="21" fillId="8" borderId="19" xfId="0" applyFont="1" applyFill="1" applyBorder="1" applyAlignment="1">
      <alignment horizontal="center"/>
    </xf>
    <xf numFmtId="0" fontId="30" fillId="10" borderId="23" xfId="0" applyFont="1" applyFill="1" applyBorder="1" applyAlignment="1">
      <alignment horizontal="center" vertical="center"/>
    </xf>
    <xf numFmtId="0" fontId="30" fillId="10" borderId="12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/>
    </xf>
    <xf numFmtId="0" fontId="21" fillId="8" borderId="13" xfId="0" applyFont="1" applyFill="1" applyBorder="1" applyAlignment="1">
      <alignment horizontal="center"/>
    </xf>
    <xf numFmtId="164" fontId="19" fillId="0" borderId="17" xfId="0" applyNumberFormat="1" applyFont="1" applyBorder="1" applyAlignment="1">
      <alignment horizontal="center"/>
    </xf>
    <xf numFmtId="164" fontId="19" fillId="0" borderId="19" xfId="0" applyNumberFormat="1" applyFont="1" applyBorder="1" applyAlignment="1">
      <alignment horizontal="center"/>
    </xf>
    <xf numFmtId="0" fontId="20" fillId="9" borderId="6" xfId="0" applyFont="1" applyFill="1" applyBorder="1" applyAlignment="1">
      <alignment horizontal="center" wrapText="1"/>
    </xf>
    <xf numFmtId="0" fontId="20" fillId="9" borderId="7" xfId="0" applyFont="1" applyFill="1" applyBorder="1" applyAlignment="1">
      <alignment horizontal="center" wrapText="1"/>
    </xf>
    <xf numFmtId="0" fontId="20" fillId="9" borderId="8" xfId="0" applyFont="1" applyFill="1" applyBorder="1" applyAlignment="1">
      <alignment horizontal="center" wrapText="1"/>
    </xf>
    <xf numFmtId="0" fontId="20" fillId="9" borderId="11" xfId="0" applyFont="1" applyFill="1" applyBorder="1" applyAlignment="1">
      <alignment horizontal="center" wrapText="1"/>
    </xf>
    <xf numFmtId="0" fontId="20" fillId="9" borderId="12" xfId="0" applyFont="1" applyFill="1" applyBorder="1" applyAlignment="1">
      <alignment horizontal="center" wrapText="1"/>
    </xf>
    <xf numFmtId="0" fontId="20" fillId="9" borderId="13" xfId="0" applyFont="1" applyFill="1" applyBorder="1" applyAlignment="1">
      <alignment horizontal="center" wrapText="1"/>
    </xf>
    <xf numFmtId="0" fontId="21" fillId="0" borderId="5" xfId="0" applyFont="1" applyBorder="1" applyAlignment="1">
      <alignment horizontal="center"/>
    </xf>
    <xf numFmtId="164" fontId="26" fillId="0" borderId="5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8" fillId="7" borderId="15" xfId="0" applyFont="1" applyFill="1" applyBorder="1" applyAlignment="1">
      <alignment horizontal="center"/>
    </xf>
    <xf numFmtId="164" fontId="21" fillId="0" borderId="17" xfId="0" applyNumberFormat="1" applyFont="1" applyBorder="1" applyAlignment="1">
      <alignment horizontal="center"/>
    </xf>
    <xf numFmtId="164" fontId="21" fillId="0" borderId="19" xfId="0" applyNumberFormat="1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3" xfId="0" applyFont="1" applyFill="1" applyBorder="1" applyAlignment="1">
      <alignment horizontal="center" vertical="center" wrapText="1"/>
    </xf>
    <xf numFmtId="0" fontId="21" fillId="11" borderId="25" xfId="0" applyFont="1" applyFill="1" applyBorder="1" applyAlignment="1">
      <alignment horizontal="center" vertical="center" wrapText="1"/>
    </xf>
    <xf numFmtId="0" fontId="21" fillId="11" borderId="26" xfId="0" applyFont="1" applyFill="1" applyBorder="1" applyAlignment="1">
      <alignment horizontal="center" vertical="center" wrapText="1"/>
    </xf>
    <xf numFmtId="0" fontId="21" fillId="11" borderId="27" xfId="0" applyFont="1" applyFill="1" applyBorder="1" applyAlignment="1">
      <alignment horizontal="center" vertical="center" wrapText="1"/>
    </xf>
    <xf numFmtId="0" fontId="21" fillId="11" borderId="28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9" fillId="7" borderId="14" xfId="0" applyFont="1" applyFill="1" applyBorder="1" applyAlignment="1">
      <alignment horizontal="center"/>
    </xf>
    <xf numFmtId="0" fontId="29" fillId="7" borderId="5" xfId="0" applyFont="1" applyFill="1" applyBorder="1" applyAlignment="1">
      <alignment horizontal="center" vertical="center"/>
    </xf>
    <xf numFmtId="0" fontId="27" fillId="0" borderId="14" xfId="0" applyFont="1" applyBorder="1" applyAlignment="1">
      <alignment horizontal="center" vertical="top" wrapText="1"/>
    </xf>
    <xf numFmtId="0" fontId="27" fillId="0" borderId="16" xfId="0" applyFont="1" applyBorder="1" applyAlignment="1">
      <alignment horizontal="center" vertical="top" wrapText="1"/>
    </xf>
    <xf numFmtId="0" fontId="29" fillId="7" borderId="14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164" fontId="18" fillId="0" borderId="19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64" fontId="21" fillId="0" borderId="17" xfId="0" applyNumberFormat="1" applyFont="1" applyBorder="1" applyAlignment="1">
      <alignment horizontal="center" vertical="center"/>
    </xf>
    <xf numFmtId="164" fontId="21" fillId="0" borderId="19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/>
    </xf>
    <xf numFmtId="164" fontId="18" fillId="0" borderId="19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 wrapText="1"/>
    </xf>
    <xf numFmtId="0" fontId="20" fillId="0" borderId="7" xfId="0" applyFont="1" applyBorder="1" applyAlignment="1">
      <alignment horizontal="center" wrapText="1"/>
    </xf>
    <xf numFmtId="0" fontId="20" fillId="0" borderId="8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8" fillId="7" borderId="16" xfId="0" applyFont="1" applyFill="1" applyBorder="1" applyAlignment="1">
      <alignment horizontal="center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0" fillId="10" borderId="20" xfId="0" applyFont="1" applyFill="1" applyBorder="1" applyAlignment="1">
      <alignment horizontal="center" vertical="center"/>
    </xf>
    <xf numFmtId="0" fontId="30" fillId="10" borderId="21" xfId="0" applyFont="1" applyFill="1" applyBorder="1" applyAlignment="1">
      <alignment horizontal="center" vertical="center"/>
    </xf>
    <xf numFmtId="0" fontId="21" fillId="11" borderId="21" xfId="0" applyFont="1" applyFill="1" applyBorder="1" applyAlignment="1">
      <alignment horizontal="center" vertical="center" wrapText="1"/>
    </xf>
    <xf numFmtId="0" fontId="21" fillId="11" borderId="22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/>
    </xf>
    <xf numFmtId="0" fontId="21" fillId="8" borderId="1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23" fillId="0" borderId="18" xfId="0" applyFont="1" applyBorder="1" applyAlignment="1">
      <alignment horizontal="left"/>
    </xf>
    <xf numFmtId="0" fontId="23" fillId="0" borderId="19" xfId="0" applyFont="1" applyBorder="1" applyAlignment="1">
      <alignment horizontal="left"/>
    </xf>
    <xf numFmtId="0" fontId="10" fillId="0" borderId="7" xfId="0" applyFont="1" applyBorder="1" applyAlignment="1">
      <alignment horizont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11" borderId="21" xfId="0" applyFont="1" applyFill="1" applyBorder="1" applyAlignment="1">
      <alignment horizontal="center" vertical="top" wrapText="1"/>
    </xf>
    <xf numFmtId="0" fontId="27" fillId="11" borderId="22" xfId="0" applyFont="1" applyFill="1" applyBorder="1" applyAlignment="1">
      <alignment horizontal="center" vertical="top" wrapText="1"/>
    </xf>
    <xf numFmtId="164" fontId="21" fillId="0" borderId="5" xfId="0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7" fillId="11" borderId="21" xfId="0" applyFont="1" applyFill="1" applyBorder="1" applyAlignment="1">
      <alignment horizontal="left" vertical="top" wrapText="1"/>
    </xf>
    <xf numFmtId="0" fontId="27" fillId="11" borderId="22" xfId="0" applyFont="1" applyFill="1" applyBorder="1" applyAlignment="1">
      <alignment horizontal="left" vertical="top" wrapText="1"/>
    </xf>
    <xf numFmtId="0" fontId="21" fillId="8" borderId="5" xfId="0" applyFont="1" applyFill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7" fillId="0" borderId="17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30" fillId="10" borderId="30" xfId="0" applyFont="1" applyFill="1" applyBorder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20" fillId="0" borderId="17" xfId="0" applyFont="1" applyBorder="1" applyAlignment="1">
      <alignment horizontal="center" wrapText="1"/>
    </xf>
    <xf numFmtId="0" fontId="20" fillId="0" borderId="18" xfId="0" applyFont="1" applyBorder="1" applyAlignment="1">
      <alignment horizontal="center" wrapText="1"/>
    </xf>
    <xf numFmtId="0" fontId="20" fillId="0" borderId="19" xfId="0" applyFont="1" applyBorder="1" applyAlignment="1">
      <alignment horizontal="center" wrapText="1"/>
    </xf>
    <xf numFmtId="0" fontId="21" fillId="11" borderId="9" xfId="0" applyFont="1" applyFill="1" applyBorder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/>
    </xf>
    <xf numFmtId="0" fontId="20" fillId="9" borderId="17" xfId="0" applyFont="1" applyFill="1" applyBorder="1" applyAlignment="1">
      <alignment horizontal="center" wrapText="1"/>
    </xf>
    <xf numFmtId="0" fontId="20" fillId="9" borderId="18" xfId="0" applyFont="1" applyFill="1" applyBorder="1" applyAlignment="1">
      <alignment horizontal="center" wrapText="1"/>
    </xf>
    <xf numFmtId="0" fontId="20" fillId="9" borderId="19" xfId="0" applyFont="1" applyFill="1" applyBorder="1" applyAlignment="1">
      <alignment horizontal="center" wrapText="1"/>
    </xf>
    <xf numFmtId="0" fontId="7" fillId="8" borderId="1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29" fillId="7" borderId="17" xfId="0" applyFont="1" applyFill="1" applyBorder="1" applyAlignment="1">
      <alignment horizontal="center" vertical="center"/>
    </xf>
    <xf numFmtId="0" fontId="29" fillId="7" borderId="19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</cellXfs>
  <cellStyles count="6">
    <cellStyle name="20% - 1. jelölőszín" xfId="5" builtinId="30"/>
    <cellStyle name="Bevitel" xfId="4" builtinId="20"/>
    <cellStyle name="Jó" xfId="1" builtinId="26"/>
    <cellStyle name="Normál" xfId="0" builtinId="0"/>
    <cellStyle name="Rossz" xfId="2" builtinId="27"/>
    <cellStyle name="Semleges" xfId="3" builtinId="28"/>
  </cellStyles>
  <dxfs count="0"/>
  <tableStyles count="0" defaultTableStyle="TableStyleMedium2" defaultPivotStyle="PivotStyleLight16"/>
  <colors>
    <mruColors>
      <color rgb="FFFF99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21</xdr:col>
      <xdr:colOff>143565</xdr:colOff>
      <xdr:row>18</xdr:row>
      <xdr:rowOff>152840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179861A-665F-4DC4-9953-EF04EAF5D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600075"/>
          <a:ext cx="4944165" cy="3153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154D-7A21-4EEE-A645-87FC2EE6E1B3}">
  <sheetPr>
    <tabColor theme="9" tint="0.39997558519241921"/>
  </sheetPr>
  <dimension ref="A1:J97"/>
  <sheetViews>
    <sheetView view="pageLayout" zoomScaleNormal="100" workbookViewId="0">
      <selection activeCell="C12" sqref="C12"/>
    </sheetView>
  </sheetViews>
  <sheetFormatPr defaultRowHeight="15.75" x14ac:dyDescent="0.25"/>
  <cols>
    <col min="1" max="1" width="3" bestFit="1" customWidth="1"/>
    <col min="2" max="2" width="12" bestFit="1" customWidth="1"/>
    <col min="3" max="3" width="9.25" customWidth="1"/>
    <col min="4" max="4" width="6.25" customWidth="1"/>
    <col min="7" max="8" width="10.5" customWidth="1"/>
  </cols>
  <sheetData>
    <row r="1" spans="1:10" ht="19.5" customHeight="1" x14ac:dyDescent="0.3">
      <c r="A1" s="108" t="s">
        <v>52</v>
      </c>
      <c r="B1" s="108"/>
      <c r="C1" s="37"/>
      <c r="D1" s="37"/>
      <c r="E1" s="38"/>
      <c r="F1" s="108" t="s">
        <v>0</v>
      </c>
      <c r="G1" s="108"/>
      <c r="H1" s="39"/>
      <c r="I1" s="40"/>
      <c r="J1" s="40"/>
    </row>
    <row r="2" spans="1:10" ht="17.25" customHeight="1" x14ac:dyDescent="0.3">
      <c r="A2" s="109"/>
      <c r="B2" s="109"/>
      <c r="C2" s="194"/>
      <c r="D2" s="194"/>
      <c r="E2" s="195"/>
      <c r="F2" s="108" t="s">
        <v>1</v>
      </c>
      <c r="G2" s="108"/>
      <c r="H2" s="41"/>
      <c r="I2" s="42"/>
      <c r="J2" s="40"/>
    </row>
    <row r="3" spans="1:10" ht="19.5" customHeight="1" x14ac:dyDescent="0.3">
      <c r="A3" s="110" t="s">
        <v>53</v>
      </c>
      <c r="B3" s="110"/>
      <c r="C3" s="197"/>
      <c r="D3" s="197"/>
      <c r="E3" s="198"/>
      <c r="F3" s="109" t="s">
        <v>2</v>
      </c>
      <c r="G3" s="109"/>
      <c r="H3" s="43"/>
      <c r="I3" s="44"/>
      <c r="J3" s="44"/>
    </row>
    <row r="4" spans="1:10" ht="19.5" customHeight="1" x14ac:dyDescent="0.25">
      <c r="A4" s="193" t="s">
        <v>36</v>
      </c>
      <c r="B4" s="193"/>
      <c r="C4" s="78" t="s">
        <v>82</v>
      </c>
      <c r="D4" s="193" t="s">
        <v>6</v>
      </c>
      <c r="E4" s="193"/>
      <c r="F4" s="79" t="s">
        <v>81</v>
      </c>
      <c r="G4" s="80" t="s">
        <v>37</v>
      </c>
      <c r="H4" s="165" t="s">
        <v>7</v>
      </c>
      <c r="I4" s="165"/>
      <c r="J4" s="45" t="s">
        <v>3</v>
      </c>
    </row>
    <row r="5" spans="1:10" ht="30.75" customHeight="1" x14ac:dyDescent="0.25">
      <c r="A5" s="196"/>
      <c r="B5" s="196"/>
      <c r="C5" s="46"/>
      <c r="D5" s="118"/>
      <c r="E5" s="119"/>
      <c r="F5" s="46"/>
      <c r="G5" s="47"/>
      <c r="H5" s="126"/>
      <c r="I5" s="127"/>
      <c r="J5" s="48"/>
    </row>
    <row r="6" spans="1:10" ht="26.25" customHeight="1" x14ac:dyDescent="0.25">
      <c r="A6" s="17"/>
      <c r="B6" s="68" t="s">
        <v>9</v>
      </c>
      <c r="C6" s="68" t="s">
        <v>10</v>
      </c>
      <c r="D6" s="68" t="s">
        <v>11</v>
      </c>
      <c r="E6" s="68" t="s">
        <v>12</v>
      </c>
      <c r="F6" s="68" t="s">
        <v>13</v>
      </c>
      <c r="G6" s="68" t="s">
        <v>14</v>
      </c>
      <c r="H6" s="68" t="s">
        <v>15</v>
      </c>
      <c r="I6" s="37"/>
      <c r="J6" s="166" t="s">
        <v>163</v>
      </c>
    </row>
    <row r="7" spans="1:10" x14ac:dyDescent="0.25">
      <c r="A7" s="50" t="s">
        <v>16</v>
      </c>
      <c r="B7" s="62" t="e">
        <f>VLOOKUP($A$5,'Cserepes adatok'!$A$2:$B$9,2,FALSE)</f>
        <v>#N/A</v>
      </c>
      <c r="C7" s="62"/>
      <c r="D7" s="28"/>
      <c r="E7" s="63" t="e">
        <f t="shared" ref="E7:E16" si="0">B7*C7*D7</f>
        <v>#N/A</v>
      </c>
      <c r="F7" s="64">
        <f>$H$5</f>
        <v>0</v>
      </c>
      <c r="G7" s="64" t="e">
        <f>E7*F7</f>
        <v>#N/A</v>
      </c>
      <c r="H7" s="64" t="e">
        <f>G7*1.27</f>
        <v>#N/A</v>
      </c>
      <c r="I7" s="37"/>
      <c r="J7" s="167"/>
    </row>
    <row r="8" spans="1:10" x14ac:dyDescent="0.25">
      <c r="A8" s="50" t="s">
        <v>17</v>
      </c>
      <c r="B8" s="62" t="e">
        <f>VLOOKUP($A$5,'Cserepes adatok'!$A$2:$B$9,2,FALSE)</f>
        <v>#N/A</v>
      </c>
      <c r="C8" s="62"/>
      <c r="D8" s="28"/>
      <c r="E8" s="63" t="e">
        <f t="shared" si="0"/>
        <v>#N/A</v>
      </c>
      <c r="F8" s="64">
        <f t="shared" ref="F8:F27" si="1">$H$5</f>
        <v>0</v>
      </c>
      <c r="G8" s="64" t="e">
        <f t="shared" ref="G8:G16" si="2">E8*F8</f>
        <v>#N/A</v>
      </c>
      <c r="H8" s="64" t="e">
        <f t="shared" ref="H8:H16" si="3">G8*1.27</f>
        <v>#N/A</v>
      </c>
      <c r="I8" s="37"/>
      <c r="J8" s="106"/>
    </row>
    <row r="9" spans="1:10" x14ac:dyDescent="0.25">
      <c r="A9" s="50" t="s">
        <v>18</v>
      </c>
      <c r="B9" s="62" t="e">
        <f>VLOOKUP($A$5,'Cserepes adatok'!$A$2:$B$9,2,FALSE)</f>
        <v>#N/A</v>
      </c>
      <c r="C9" s="62"/>
      <c r="D9" s="28"/>
      <c r="E9" s="63" t="e">
        <f t="shared" si="0"/>
        <v>#N/A</v>
      </c>
      <c r="F9" s="64">
        <f t="shared" si="1"/>
        <v>0</v>
      </c>
      <c r="G9" s="64" t="e">
        <f t="shared" si="2"/>
        <v>#N/A</v>
      </c>
      <c r="H9" s="64" t="e">
        <f t="shared" si="3"/>
        <v>#N/A</v>
      </c>
      <c r="I9" s="37"/>
      <c r="J9" s="107"/>
    </row>
    <row r="10" spans="1:10" x14ac:dyDescent="0.25">
      <c r="A10" s="50" t="s">
        <v>19</v>
      </c>
      <c r="B10" s="62" t="e">
        <f>VLOOKUP($A$5,'Cserepes adatok'!$A$2:$B$9,2,FALSE)</f>
        <v>#N/A</v>
      </c>
      <c r="C10" s="62"/>
      <c r="D10" s="28"/>
      <c r="E10" s="63" t="e">
        <f t="shared" si="0"/>
        <v>#N/A</v>
      </c>
      <c r="F10" s="64">
        <f t="shared" si="1"/>
        <v>0</v>
      </c>
      <c r="G10" s="64" t="e">
        <f t="shared" si="2"/>
        <v>#N/A</v>
      </c>
      <c r="H10" s="64" t="e">
        <f t="shared" si="3"/>
        <v>#N/A</v>
      </c>
      <c r="I10" s="37"/>
      <c r="J10" s="38"/>
    </row>
    <row r="11" spans="1:10" x14ac:dyDescent="0.25">
      <c r="A11" s="50" t="s">
        <v>20</v>
      </c>
      <c r="B11" s="62" t="e">
        <f>VLOOKUP($A$5,'Cserepes adatok'!$A$2:$B$9,2,FALSE)</f>
        <v>#N/A</v>
      </c>
      <c r="C11" s="62"/>
      <c r="D11" s="28"/>
      <c r="E11" s="63" t="e">
        <f t="shared" si="0"/>
        <v>#N/A</v>
      </c>
      <c r="F11" s="64">
        <f t="shared" si="1"/>
        <v>0</v>
      </c>
      <c r="G11" s="64" t="e">
        <f t="shared" si="2"/>
        <v>#N/A</v>
      </c>
      <c r="H11" s="64" t="e">
        <f t="shared" si="3"/>
        <v>#N/A</v>
      </c>
      <c r="I11" s="37"/>
      <c r="J11" s="38"/>
    </row>
    <row r="12" spans="1:10" x14ac:dyDescent="0.25">
      <c r="A12" s="50" t="s">
        <v>21</v>
      </c>
      <c r="B12" s="62" t="e">
        <f>VLOOKUP($A$5,'Cserepes adatok'!$A$2:$B$9,2,FALSE)</f>
        <v>#N/A</v>
      </c>
      <c r="C12" s="62"/>
      <c r="D12" s="28"/>
      <c r="E12" s="63" t="e">
        <f t="shared" si="0"/>
        <v>#N/A</v>
      </c>
      <c r="F12" s="64">
        <f t="shared" si="1"/>
        <v>0</v>
      </c>
      <c r="G12" s="64" t="e">
        <f t="shared" si="2"/>
        <v>#N/A</v>
      </c>
      <c r="H12" s="64" t="e">
        <f t="shared" si="3"/>
        <v>#N/A</v>
      </c>
      <c r="I12" s="37"/>
      <c r="J12" s="38"/>
    </row>
    <row r="13" spans="1:10" x14ac:dyDescent="0.25">
      <c r="A13" s="50" t="s">
        <v>22</v>
      </c>
      <c r="B13" s="62" t="e">
        <f>VLOOKUP($A$5,'Cserepes adatok'!$A$2:$B$9,2,FALSE)</f>
        <v>#N/A</v>
      </c>
      <c r="C13" s="62"/>
      <c r="D13" s="28"/>
      <c r="E13" s="63" t="e">
        <f t="shared" si="0"/>
        <v>#N/A</v>
      </c>
      <c r="F13" s="64">
        <f t="shared" si="1"/>
        <v>0</v>
      </c>
      <c r="G13" s="64" t="e">
        <f t="shared" si="2"/>
        <v>#N/A</v>
      </c>
      <c r="H13" s="64" t="e">
        <f t="shared" si="3"/>
        <v>#N/A</v>
      </c>
      <c r="I13" s="37"/>
      <c r="J13" s="38"/>
    </row>
    <row r="14" spans="1:10" x14ac:dyDescent="0.25">
      <c r="A14" s="50" t="s">
        <v>23</v>
      </c>
      <c r="B14" s="62" t="e">
        <f>VLOOKUP($A$5,'Cserepes adatok'!$A$2:$B$9,2,FALSE)</f>
        <v>#N/A</v>
      </c>
      <c r="C14" s="62"/>
      <c r="D14" s="28"/>
      <c r="E14" s="63" t="e">
        <f t="shared" si="0"/>
        <v>#N/A</v>
      </c>
      <c r="F14" s="64">
        <f t="shared" si="1"/>
        <v>0</v>
      </c>
      <c r="G14" s="64" t="e">
        <f t="shared" si="2"/>
        <v>#N/A</v>
      </c>
      <c r="H14" s="64" t="e">
        <f t="shared" si="3"/>
        <v>#N/A</v>
      </c>
      <c r="I14" s="37"/>
      <c r="J14" s="38"/>
    </row>
    <row r="15" spans="1:10" x14ac:dyDescent="0.25">
      <c r="A15" s="50" t="s">
        <v>24</v>
      </c>
      <c r="B15" s="62" t="e">
        <f>VLOOKUP($A$5,'Cserepes adatok'!$A$2:$B$9,2,FALSE)</f>
        <v>#N/A</v>
      </c>
      <c r="C15" s="62"/>
      <c r="D15" s="28"/>
      <c r="E15" s="63" t="e">
        <f t="shared" si="0"/>
        <v>#N/A</v>
      </c>
      <c r="F15" s="64">
        <f t="shared" si="1"/>
        <v>0</v>
      </c>
      <c r="G15" s="64" t="e">
        <f t="shared" si="2"/>
        <v>#N/A</v>
      </c>
      <c r="H15" s="64" t="e">
        <f t="shared" si="3"/>
        <v>#N/A</v>
      </c>
      <c r="I15" s="37"/>
      <c r="J15" s="38"/>
    </row>
    <row r="16" spans="1:10" x14ac:dyDescent="0.25">
      <c r="A16" s="50" t="s">
        <v>25</v>
      </c>
      <c r="B16" s="62" t="e">
        <f>VLOOKUP($A$5,'Cserepes adatok'!$A$2:$B$9,2,FALSE)</f>
        <v>#N/A</v>
      </c>
      <c r="C16" s="62"/>
      <c r="D16" s="28"/>
      <c r="E16" s="63" t="e">
        <f t="shared" si="0"/>
        <v>#N/A</v>
      </c>
      <c r="F16" s="64">
        <f t="shared" si="1"/>
        <v>0</v>
      </c>
      <c r="G16" s="64" t="e">
        <f t="shared" si="2"/>
        <v>#N/A</v>
      </c>
      <c r="H16" s="64" t="e">
        <f t="shared" si="3"/>
        <v>#N/A</v>
      </c>
      <c r="I16" s="37"/>
      <c r="J16" s="38"/>
    </row>
    <row r="17" spans="1:10" x14ac:dyDescent="0.25">
      <c r="A17" s="50" t="s">
        <v>26</v>
      </c>
      <c r="B17" s="62" t="e">
        <f>VLOOKUP($A$5,'Cserepes adatok'!$A$2:$B$9,2,FALSE)</f>
        <v>#N/A</v>
      </c>
      <c r="C17" s="62"/>
      <c r="D17" s="28"/>
      <c r="E17" s="63" t="e">
        <f t="shared" ref="E17:E26" si="4">B17*C17*D17</f>
        <v>#N/A</v>
      </c>
      <c r="F17" s="64">
        <f t="shared" si="1"/>
        <v>0</v>
      </c>
      <c r="G17" s="64" t="e">
        <f t="shared" ref="G17:G27" si="5">E17*F17</f>
        <v>#N/A</v>
      </c>
      <c r="H17" s="64" t="e">
        <f t="shared" ref="H17:H27" si="6">G17*1.27</f>
        <v>#N/A</v>
      </c>
      <c r="I17" s="37"/>
      <c r="J17" s="38"/>
    </row>
    <row r="18" spans="1:10" x14ac:dyDescent="0.25">
      <c r="A18" s="50" t="s">
        <v>27</v>
      </c>
      <c r="B18" s="62" t="e">
        <f>VLOOKUP($A$5,'Cserepes adatok'!$A$2:$B$9,2,FALSE)</f>
        <v>#N/A</v>
      </c>
      <c r="C18" s="62"/>
      <c r="D18" s="28"/>
      <c r="E18" s="63" t="e">
        <f t="shared" si="4"/>
        <v>#N/A</v>
      </c>
      <c r="F18" s="64">
        <f t="shared" si="1"/>
        <v>0</v>
      </c>
      <c r="G18" s="64" t="e">
        <f t="shared" si="5"/>
        <v>#N/A</v>
      </c>
      <c r="H18" s="64" t="e">
        <f t="shared" si="6"/>
        <v>#N/A</v>
      </c>
      <c r="I18" s="37"/>
      <c r="J18" s="38"/>
    </row>
    <row r="19" spans="1:10" x14ac:dyDescent="0.25">
      <c r="A19" s="50" t="s">
        <v>28</v>
      </c>
      <c r="B19" s="62" t="e">
        <f>VLOOKUP($A$5,'Cserepes adatok'!$A$2:$B$9,2,FALSE)</f>
        <v>#N/A</v>
      </c>
      <c r="C19" s="62"/>
      <c r="D19" s="28"/>
      <c r="E19" s="63" t="e">
        <f t="shared" si="4"/>
        <v>#N/A</v>
      </c>
      <c r="F19" s="64">
        <f t="shared" si="1"/>
        <v>0</v>
      </c>
      <c r="G19" s="64" t="e">
        <f t="shared" si="5"/>
        <v>#N/A</v>
      </c>
      <c r="H19" s="64" t="e">
        <f t="shared" si="6"/>
        <v>#N/A</v>
      </c>
      <c r="I19" s="37"/>
      <c r="J19" s="38"/>
    </row>
    <row r="20" spans="1:10" x14ac:dyDescent="0.25">
      <c r="A20" s="50" t="s">
        <v>29</v>
      </c>
      <c r="B20" s="62" t="e">
        <f>VLOOKUP($A$5,'Cserepes adatok'!$A$2:$B$9,2,FALSE)</f>
        <v>#N/A</v>
      </c>
      <c r="C20" s="62"/>
      <c r="D20" s="28"/>
      <c r="E20" s="63" t="e">
        <f t="shared" si="4"/>
        <v>#N/A</v>
      </c>
      <c r="F20" s="64">
        <f t="shared" si="1"/>
        <v>0</v>
      </c>
      <c r="G20" s="64" t="e">
        <f t="shared" si="5"/>
        <v>#N/A</v>
      </c>
      <c r="H20" s="64" t="e">
        <f t="shared" si="6"/>
        <v>#N/A</v>
      </c>
      <c r="I20" s="37"/>
      <c r="J20" s="38"/>
    </row>
    <row r="21" spans="1:10" x14ac:dyDescent="0.25">
      <c r="A21" s="50" t="s">
        <v>30</v>
      </c>
      <c r="B21" s="62" t="e">
        <f>VLOOKUP($A$5,'Cserepes adatok'!$A$2:$B$9,2,FALSE)</f>
        <v>#N/A</v>
      </c>
      <c r="C21" s="62"/>
      <c r="D21" s="28"/>
      <c r="E21" s="63" t="e">
        <f t="shared" si="4"/>
        <v>#N/A</v>
      </c>
      <c r="F21" s="64">
        <f t="shared" si="1"/>
        <v>0</v>
      </c>
      <c r="G21" s="64" t="e">
        <f t="shared" si="5"/>
        <v>#N/A</v>
      </c>
      <c r="H21" s="64" t="e">
        <f t="shared" si="6"/>
        <v>#N/A</v>
      </c>
      <c r="I21" s="37"/>
      <c r="J21" s="38"/>
    </row>
    <row r="22" spans="1:10" x14ac:dyDescent="0.25">
      <c r="A22" s="50" t="s">
        <v>31</v>
      </c>
      <c r="B22" s="62" t="e">
        <f>VLOOKUP($A$5,'Cserepes adatok'!$A$2:$B$9,2,FALSE)</f>
        <v>#N/A</v>
      </c>
      <c r="C22" s="62"/>
      <c r="D22" s="28"/>
      <c r="E22" s="63" t="e">
        <f t="shared" si="4"/>
        <v>#N/A</v>
      </c>
      <c r="F22" s="64">
        <f t="shared" si="1"/>
        <v>0</v>
      </c>
      <c r="G22" s="64" t="e">
        <f t="shared" si="5"/>
        <v>#N/A</v>
      </c>
      <c r="H22" s="64" t="e">
        <f t="shared" si="6"/>
        <v>#N/A</v>
      </c>
      <c r="I22" s="37"/>
      <c r="J22" s="38"/>
    </row>
    <row r="23" spans="1:10" x14ac:dyDescent="0.25">
      <c r="A23" s="50" t="s">
        <v>32</v>
      </c>
      <c r="B23" s="62" t="e">
        <f>VLOOKUP($A$5,'Cserepes adatok'!$A$2:$B$9,2,FALSE)</f>
        <v>#N/A</v>
      </c>
      <c r="C23" s="62"/>
      <c r="D23" s="28"/>
      <c r="E23" s="63" t="e">
        <f t="shared" si="4"/>
        <v>#N/A</v>
      </c>
      <c r="F23" s="64">
        <f t="shared" si="1"/>
        <v>0</v>
      </c>
      <c r="G23" s="64" t="e">
        <f t="shared" si="5"/>
        <v>#N/A</v>
      </c>
      <c r="H23" s="64" t="e">
        <f t="shared" si="6"/>
        <v>#N/A</v>
      </c>
      <c r="I23" s="37"/>
      <c r="J23" s="38"/>
    </row>
    <row r="24" spans="1:10" x14ac:dyDescent="0.25">
      <c r="A24" s="50" t="s">
        <v>33</v>
      </c>
      <c r="B24" s="62" t="e">
        <f>VLOOKUP($A$5,'Cserepes adatok'!$A$2:$B$9,2,FALSE)</f>
        <v>#N/A</v>
      </c>
      <c r="C24" s="62"/>
      <c r="D24" s="28"/>
      <c r="E24" s="63" t="e">
        <f t="shared" si="4"/>
        <v>#N/A</v>
      </c>
      <c r="F24" s="64">
        <f t="shared" si="1"/>
        <v>0</v>
      </c>
      <c r="G24" s="64" t="e">
        <f t="shared" si="5"/>
        <v>#N/A</v>
      </c>
      <c r="H24" s="64" t="e">
        <f t="shared" si="6"/>
        <v>#N/A</v>
      </c>
      <c r="I24" s="37"/>
      <c r="J24" s="38"/>
    </row>
    <row r="25" spans="1:10" x14ac:dyDescent="0.25">
      <c r="A25" s="50" t="s">
        <v>34</v>
      </c>
      <c r="B25" s="62" t="e">
        <f>VLOOKUP($A$5,'Cserepes adatok'!$A$2:$B$9,2,FALSE)</f>
        <v>#N/A</v>
      </c>
      <c r="C25" s="62"/>
      <c r="D25" s="28"/>
      <c r="E25" s="63" t="e">
        <f t="shared" si="4"/>
        <v>#N/A</v>
      </c>
      <c r="F25" s="64">
        <f t="shared" si="1"/>
        <v>0</v>
      </c>
      <c r="G25" s="64" t="e">
        <f t="shared" si="5"/>
        <v>#N/A</v>
      </c>
      <c r="H25" s="64" t="e">
        <f t="shared" si="6"/>
        <v>#N/A</v>
      </c>
      <c r="I25" s="37"/>
      <c r="J25" s="38"/>
    </row>
    <row r="26" spans="1:10" x14ac:dyDescent="0.25">
      <c r="A26" s="50" t="s">
        <v>35</v>
      </c>
      <c r="B26" s="62" t="e">
        <f>VLOOKUP($A$5,'Cserepes adatok'!$A$2:$B$9,2,FALSE)</f>
        <v>#N/A</v>
      </c>
      <c r="C26" s="62"/>
      <c r="D26" s="28"/>
      <c r="E26" s="63" t="e">
        <f t="shared" si="4"/>
        <v>#N/A</v>
      </c>
      <c r="F26" s="64">
        <f t="shared" si="1"/>
        <v>0</v>
      </c>
      <c r="G26" s="64" t="e">
        <f t="shared" si="5"/>
        <v>#N/A</v>
      </c>
      <c r="H26" s="64" t="e">
        <f t="shared" si="6"/>
        <v>#N/A</v>
      </c>
      <c r="I26" s="37"/>
      <c r="J26" s="38"/>
    </row>
    <row r="27" spans="1:10" x14ac:dyDescent="0.25">
      <c r="A27" s="65"/>
      <c r="B27" s="191" t="s">
        <v>38</v>
      </c>
      <c r="C27" s="191"/>
      <c r="D27" s="191"/>
      <c r="E27" s="66" t="e">
        <f>SUM(E7:E26)</f>
        <v>#N/A</v>
      </c>
      <c r="F27" s="67">
        <f t="shared" si="1"/>
        <v>0</v>
      </c>
      <c r="G27" s="67" t="e">
        <f t="shared" si="5"/>
        <v>#N/A</v>
      </c>
      <c r="H27" s="67" t="e">
        <f t="shared" si="6"/>
        <v>#N/A</v>
      </c>
      <c r="I27" s="37"/>
      <c r="J27" s="38"/>
    </row>
    <row r="28" spans="1:10" x14ac:dyDescent="0.25">
      <c r="A28" s="52"/>
      <c r="B28" s="192" t="s">
        <v>39</v>
      </c>
      <c r="C28" s="192"/>
      <c r="D28" s="192"/>
      <c r="E28" s="192"/>
      <c r="F28" s="192"/>
      <c r="G28" s="192"/>
      <c r="H28" s="192"/>
      <c r="I28" s="37"/>
      <c r="J28" s="38"/>
    </row>
    <row r="29" spans="1:10" x14ac:dyDescent="0.25">
      <c r="A29" s="52"/>
      <c r="B29" s="54" t="s">
        <v>40</v>
      </c>
      <c r="C29" s="53" t="s">
        <v>41</v>
      </c>
      <c r="D29" s="191" t="s">
        <v>13</v>
      </c>
      <c r="E29" s="191"/>
      <c r="F29" s="191" t="s">
        <v>14</v>
      </c>
      <c r="G29" s="191"/>
      <c r="H29" s="191" t="s">
        <v>15</v>
      </c>
      <c r="I29" s="191"/>
      <c r="J29" s="38"/>
    </row>
    <row r="30" spans="1:10" x14ac:dyDescent="0.25">
      <c r="A30" s="52"/>
      <c r="B30" s="17" t="s">
        <v>123</v>
      </c>
      <c r="C30" s="27"/>
      <c r="D30" s="176"/>
      <c r="E30" s="177"/>
      <c r="F30" s="176">
        <f>C30*D30</f>
        <v>0</v>
      </c>
      <c r="G30" s="177"/>
      <c r="H30" s="176">
        <f>F30*1.27</f>
        <v>0</v>
      </c>
      <c r="I30" s="177"/>
      <c r="J30" s="38"/>
    </row>
    <row r="31" spans="1:10" x14ac:dyDescent="0.25">
      <c r="A31" s="52"/>
      <c r="B31" s="17" t="s">
        <v>42</v>
      </c>
      <c r="C31" s="27"/>
      <c r="D31" s="176"/>
      <c r="E31" s="177"/>
      <c r="F31" s="176">
        <f t="shared" ref="F31:F40" si="7">C31*D31</f>
        <v>0</v>
      </c>
      <c r="G31" s="177"/>
      <c r="H31" s="176">
        <f t="shared" ref="H31:H40" si="8">F31*1.27</f>
        <v>0</v>
      </c>
      <c r="I31" s="177"/>
      <c r="J31" s="38"/>
    </row>
    <row r="32" spans="1:10" x14ac:dyDescent="0.25">
      <c r="A32" s="52"/>
      <c r="B32" s="17" t="s">
        <v>43</v>
      </c>
      <c r="C32" s="27"/>
      <c r="D32" s="176"/>
      <c r="E32" s="177"/>
      <c r="F32" s="176">
        <f t="shared" si="7"/>
        <v>0</v>
      </c>
      <c r="G32" s="177"/>
      <c r="H32" s="176">
        <f t="shared" si="8"/>
        <v>0</v>
      </c>
      <c r="I32" s="177"/>
      <c r="J32" s="38"/>
    </row>
    <row r="33" spans="1:10" x14ac:dyDescent="0.25">
      <c r="A33" s="52"/>
      <c r="B33" s="17" t="s">
        <v>44</v>
      </c>
      <c r="C33" s="27"/>
      <c r="D33" s="176"/>
      <c r="E33" s="177"/>
      <c r="F33" s="176">
        <f t="shared" si="7"/>
        <v>0</v>
      </c>
      <c r="G33" s="177"/>
      <c r="H33" s="176">
        <f t="shared" si="8"/>
        <v>0</v>
      </c>
      <c r="I33" s="177"/>
      <c r="J33" s="38"/>
    </row>
    <row r="34" spans="1:10" x14ac:dyDescent="0.25">
      <c r="A34" s="52"/>
      <c r="B34" s="17" t="s">
        <v>45</v>
      </c>
      <c r="C34" s="27"/>
      <c r="D34" s="176"/>
      <c r="E34" s="177"/>
      <c r="F34" s="176">
        <f t="shared" si="7"/>
        <v>0</v>
      </c>
      <c r="G34" s="177"/>
      <c r="H34" s="176">
        <f t="shared" si="8"/>
        <v>0</v>
      </c>
      <c r="I34" s="177"/>
      <c r="J34" s="38"/>
    </row>
    <row r="35" spans="1:10" x14ac:dyDescent="0.25">
      <c r="A35" s="52"/>
      <c r="B35" s="17" t="s">
        <v>119</v>
      </c>
      <c r="C35" s="27"/>
      <c r="D35" s="176"/>
      <c r="E35" s="177"/>
      <c r="F35" s="176">
        <f t="shared" si="7"/>
        <v>0</v>
      </c>
      <c r="G35" s="177"/>
      <c r="H35" s="176">
        <f t="shared" si="8"/>
        <v>0</v>
      </c>
      <c r="I35" s="177"/>
      <c r="J35" s="38"/>
    </row>
    <row r="36" spans="1:10" x14ac:dyDescent="0.25">
      <c r="A36" s="52"/>
      <c r="B36" s="17" t="s">
        <v>54</v>
      </c>
      <c r="C36" s="29"/>
      <c r="D36" s="176"/>
      <c r="E36" s="177"/>
      <c r="F36" s="176">
        <f t="shared" si="7"/>
        <v>0</v>
      </c>
      <c r="G36" s="177"/>
      <c r="H36" s="176">
        <f t="shared" si="8"/>
        <v>0</v>
      </c>
      <c r="I36" s="177"/>
      <c r="J36" s="38"/>
    </row>
    <row r="37" spans="1:10" x14ac:dyDescent="0.25">
      <c r="A37" s="52"/>
      <c r="B37" s="17" t="s">
        <v>47</v>
      </c>
      <c r="C37" s="27"/>
      <c r="D37" s="176"/>
      <c r="E37" s="177"/>
      <c r="F37" s="176">
        <f t="shared" si="7"/>
        <v>0</v>
      </c>
      <c r="G37" s="177"/>
      <c r="H37" s="176">
        <f t="shared" si="8"/>
        <v>0</v>
      </c>
      <c r="I37" s="177"/>
      <c r="J37" s="38"/>
    </row>
    <row r="38" spans="1:10" x14ac:dyDescent="0.25">
      <c r="A38" s="52"/>
      <c r="B38" s="17" t="s">
        <v>48</v>
      </c>
      <c r="C38" s="27"/>
      <c r="D38" s="176"/>
      <c r="E38" s="177"/>
      <c r="F38" s="176">
        <f t="shared" si="7"/>
        <v>0</v>
      </c>
      <c r="G38" s="177"/>
      <c r="H38" s="176">
        <f t="shared" si="8"/>
        <v>0</v>
      </c>
      <c r="I38" s="177"/>
      <c r="J38" s="38"/>
    </row>
    <row r="39" spans="1:10" x14ac:dyDescent="0.25">
      <c r="A39" s="52"/>
      <c r="B39" s="17" t="s">
        <v>49</v>
      </c>
      <c r="C39" s="27"/>
      <c r="D39" s="176"/>
      <c r="E39" s="177"/>
      <c r="F39" s="176">
        <f t="shared" si="7"/>
        <v>0</v>
      </c>
      <c r="G39" s="177"/>
      <c r="H39" s="176">
        <f t="shared" si="8"/>
        <v>0</v>
      </c>
      <c r="I39" s="177"/>
      <c r="J39" s="38"/>
    </row>
    <row r="40" spans="1:10" x14ac:dyDescent="0.25">
      <c r="A40" s="52"/>
      <c r="B40" s="17" t="s">
        <v>116</v>
      </c>
      <c r="C40" s="28"/>
      <c r="D40" s="170"/>
      <c r="E40" s="171"/>
      <c r="F40" s="170">
        <f t="shared" si="7"/>
        <v>0</v>
      </c>
      <c r="G40" s="171"/>
      <c r="H40" s="170">
        <f t="shared" si="8"/>
        <v>0</v>
      </c>
      <c r="I40" s="171"/>
      <c r="J40" s="38"/>
    </row>
    <row r="41" spans="1:10" x14ac:dyDescent="0.25">
      <c r="A41" s="52"/>
      <c r="B41" s="172" t="s">
        <v>38</v>
      </c>
      <c r="C41" s="172"/>
      <c r="D41" s="172"/>
      <c r="E41" s="172"/>
      <c r="F41" s="173">
        <f>SUM(F30:F40)</f>
        <v>0</v>
      </c>
      <c r="G41" s="174"/>
      <c r="H41" s="175">
        <f t="shared" ref="H41" si="9">F41*1.27</f>
        <v>0</v>
      </c>
      <c r="I41" s="175"/>
      <c r="J41" s="38"/>
    </row>
    <row r="42" spans="1:10" ht="17.25" customHeight="1" x14ac:dyDescent="0.25">
      <c r="A42" s="52"/>
      <c r="B42" s="164" t="s">
        <v>55</v>
      </c>
      <c r="C42" s="164"/>
      <c r="D42" s="150" t="e">
        <f>G27+F41</f>
        <v>#N/A</v>
      </c>
      <c r="E42" s="151"/>
      <c r="F42" s="165" t="s">
        <v>57</v>
      </c>
      <c r="G42" s="165"/>
      <c r="H42" s="150" t="e">
        <f>H27+H41</f>
        <v>#N/A</v>
      </c>
      <c r="I42" s="151"/>
      <c r="J42" s="38"/>
    </row>
    <row r="43" spans="1:10" ht="13.5" customHeight="1" x14ac:dyDescent="0.25">
      <c r="A43" s="52"/>
      <c r="B43" s="184" t="s">
        <v>56</v>
      </c>
      <c r="C43" s="184"/>
      <c r="D43" s="169"/>
      <c r="E43" s="169"/>
      <c r="F43" s="168"/>
      <c r="G43" s="168"/>
      <c r="H43" s="169"/>
      <c r="I43" s="169"/>
      <c r="J43" s="38"/>
    </row>
    <row r="44" spans="1:10" ht="15.75" customHeight="1" x14ac:dyDescent="0.25">
      <c r="A44" s="178" t="s">
        <v>58</v>
      </c>
      <c r="B44" s="179"/>
      <c r="C44" s="179"/>
      <c r="D44" s="179"/>
      <c r="E44" s="179"/>
      <c r="F44" s="179"/>
      <c r="G44" s="179"/>
      <c r="H44" s="179"/>
      <c r="I44" s="179"/>
      <c r="J44" s="180"/>
    </row>
    <row r="45" spans="1:10" ht="12.75" customHeight="1" thickBot="1" x14ac:dyDescent="0.3">
      <c r="A45" s="181"/>
      <c r="B45" s="182"/>
      <c r="C45" s="182"/>
      <c r="D45" s="182"/>
      <c r="E45" s="182"/>
      <c r="F45" s="182"/>
      <c r="G45" s="182"/>
      <c r="H45" s="182"/>
      <c r="I45" s="182"/>
      <c r="J45" s="183"/>
    </row>
    <row r="46" spans="1:10" s="22" customFormat="1" ht="29.25" customHeight="1" thickBot="1" x14ac:dyDescent="0.3">
      <c r="A46" s="185" t="s">
        <v>59</v>
      </c>
      <c r="B46" s="186"/>
      <c r="C46" s="186"/>
      <c r="D46" s="186"/>
      <c r="E46" s="186"/>
      <c r="F46" s="187" t="s">
        <v>124</v>
      </c>
      <c r="G46" s="188"/>
      <c r="H46" s="189" t="s">
        <v>167</v>
      </c>
      <c r="I46" s="189"/>
      <c r="J46" s="190"/>
    </row>
    <row r="47" spans="1:10" ht="15.75" customHeight="1" x14ac:dyDescent="0.25">
      <c r="A47" s="143" t="s">
        <v>93</v>
      </c>
      <c r="B47" s="144"/>
      <c r="C47" s="144"/>
      <c r="D47" s="144"/>
      <c r="E47" s="144"/>
      <c r="F47" s="144"/>
      <c r="G47" s="144"/>
      <c r="H47" s="144"/>
      <c r="I47" s="144"/>
      <c r="J47" s="145"/>
    </row>
    <row r="48" spans="1:10" ht="14.25" customHeight="1" x14ac:dyDescent="0.25">
      <c r="A48" s="146"/>
      <c r="B48" s="147"/>
      <c r="C48" s="147"/>
      <c r="D48" s="147"/>
      <c r="E48" s="147"/>
      <c r="F48" s="147"/>
      <c r="G48" s="147"/>
      <c r="H48" s="147"/>
      <c r="I48" s="147"/>
      <c r="J48" s="148"/>
    </row>
    <row r="49" spans="1:10" ht="409.5" customHeight="1" x14ac:dyDescent="0.25">
      <c r="A49" s="105" t="s">
        <v>92</v>
      </c>
      <c r="B49" s="105"/>
      <c r="C49" s="105"/>
      <c r="D49" s="105"/>
      <c r="E49" s="105"/>
      <c r="F49" s="105"/>
      <c r="G49" s="105"/>
      <c r="H49" s="105"/>
      <c r="I49" s="105"/>
      <c r="J49" s="105"/>
    </row>
    <row r="50" spans="1:10" ht="21.75" customHeight="1" x14ac:dyDescent="0.25">
      <c r="A50" s="105"/>
      <c r="B50" s="105"/>
      <c r="C50" s="105"/>
      <c r="D50" s="105"/>
      <c r="E50" s="105"/>
      <c r="F50" s="105"/>
      <c r="G50" s="105"/>
      <c r="H50" s="105"/>
      <c r="I50" s="105"/>
      <c r="J50" s="105"/>
    </row>
    <row r="51" spans="1:10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</row>
    <row r="52" spans="1:10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</row>
    <row r="53" spans="1:10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</row>
    <row r="54" spans="1:10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</row>
    <row r="55" spans="1:10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</row>
    <row r="56" spans="1:10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</row>
    <row r="57" spans="1:10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</row>
    <row r="58" spans="1:10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</row>
    <row r="59" spans="1:10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</row>
    <row r="60" spans="1:10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</row>
    <row r="61" spans="1:10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</row>
    <row r="62" spans="1:10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</row>
    <row r="63" spans="1:10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</row>
    <row r="64" spans="1:10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</row>
    <row r="65" spans="1:10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</row>
    <row r="66" spans="1:10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</row>
    <row r="67" spans="1:10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</row>
    <row r="68" spans="1:10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</row>
    <row r="69" spans="1:10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</row>
    <row r="70" spans="1:10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</row>
    <row r="71" spans="1:10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</row>
    <row r="72" spans="1:10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</row>
    <row r="73" spans="1:10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</row>
    <row r="74" spans="1:10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</row>
    <row r="75" spans="1:10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</row>
    <row r="76" spans="1:10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</row>
    <row r="77" spans="1:10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</row>
    <row r="78" spans="1:10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</row>
    <row r="79" spans="1:10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</row>
    <row r="80" spans="1:10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</row>
    <row r="81" spans="1:10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</row>
    <row r="82" spans="1:10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</row>
    <row r="83" spans="1:10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</row>
    <row r="84" spans="1:10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</row>
    <row r="85" spans="1:10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</row>
    <row r="86" spans="1:10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</row>
    <row r="87" spans="1:10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</row>
    <row r="88" spans="1:10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</row>
    <row r="89" spans="1:10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</row>
    <row r="90" spans="1:10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</row>
    <row r="91" spans="1:10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</row>
    <row r="92" spans="1:10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</row>
    <row r="93" spans="1:10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</row>
    <row r="94" spans="1:10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</row>
    <row r="95" spans="1:10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</row>
    <row r="96" spans="1:10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</row>
    <row r="97" spans="1:10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</row>
  </sheetData>
  <dataConsolidate/>
  <mergeCells count="67">
    <mergeCell ref="F30:G30"/>
    <mergeCell ref="D31:E31"/>
    <mergeCell ref="D30:E30"/>
    <mergeCell ref="D35:E35"/>
    <mergeCell ref="F1:G1"/>
    <mergeCell ref="F31:G31"/>
    <mergeCell ref="C3:E3"/>
    <mergeCell ref="A5:B5"/>
    <mergeCell ref="H4:I4"/>
    <mergeCell ref="H5:I5"/>
    <mergeCell ref="A3:B3"/>
    <mergeCell ref="D5:E5"/>
    <mergeCell ref="A1:B2"/>
    <mergeCell ref="D4:E4"/>
    <mergeCell ref="A4:B4"/>
    <mergeCell ref="F3:G3"/>
    <mergeCell ref="F2:G2"/>
    <mergeCell ref="C2:E2"/>
    <mergeCell ref="H30:I30"/>
    <mergeCell ref="H34:I34"/>
    <mergeCell ref="H33:I33"/>
    <mergeCell ref="H32:I32"/>
    <mergeCell ref="H31:I31"/>
    <mergeCell ref="J8:J9"/>
    <mergeCell ref="B27:D27"/>
    <mergeCell ref="B28:H28"/>
    <mergeCell ref="D29:E29"/>
    <mergeCell ref="F29:G29"/>
    <mergeCell ref="H29:I29"/>
    <mergeCell ref="F39:G39"/>
    <mergeCell ref="D38:E38"/>
    <mergeCell ref="D39:E39"/>
    <mergeCell ref="D32:E32"/>
    <mergeCell ref="D34:E34"/>
    <mergeCell ref="D33:E33"/>
    <mergeCell ref="F35:G35"/>
    <mergeCell ref="F34:G34"/>
    <mergeCell ref="F38:G38"/>
    <mergeCell ref="F37:G37"/>
    <mergeCell ref="F36:G36"/>
    <mergeCell ref="D37:E37"/>
    <mergeCell ref="D36:E36"/>
    <mergeCell ref="F33:G33"/>
    <mergeCell ref="F32:G32"/>
    <mergeCell ref="A49:J72"/>
    <mergeCell ref="A47:J48"/>
    <mergeCell ref="A44:J45"/>
    <mergeCell ref="B43:C43"/>
    <mergeCell ref="A46:E46"/>
    <mergeCell ref="F46:G46"/>
    <mergeCell ref="H46:J46"/>
    <mergeCell ref="J6:J7"/>
    <mergeCell ref="B42:C42"/>
    <mergeCell ref="F42:G43"/>
    <mergeCell ref="D42:E43"/>
    <mergeCell ref="H42:I43"/>
    <mergeCell ref="D40:E40"/>
    <mergeCell ref="B41:E41"/>
    <mergeCell ref="F41:G41"/>
    <mergeCell ref="F40:G40"/>
    <mergeCell ref="H41:I41"/>
    <mergeCell ref="H36:I36"/>
    <mergeCell ref="H35:I35"/>
    <mergeCell ref="H40:I40"/>
    <mergeCell ref="H39:I39"/>
    <mergeCell ref="H38:I38"/>
    <mergeCell ref="H37:I37"/>
  </mergeCells>
  <phoneticPr fontId="11" type="noConversion"/>
  <pageMargins left="0.25" right="0.25" top="0.75" bottom="0.75" header="0.3" footer="0.3"/>
  <pageSetup paperSize="9" fitToWidth="0" fitToHeight="0" orientation="portrait" r:id="rId1"/>
  <headerFooter>
    <oddHeader>&amp;L&amp;G&amp;C&amp;"Ubuntu,Félkövér"&amp;16&amp;KC00000AJÁNLATKÉRŐ LAP
&amp;10&amp;UAz ár érvényesség ideje 1 nap.&amp;R&amp;10Áraink &amp;"Ubuntu,Félkövér"nettó &amp;"Ubuntu,Normál"árak az 
&amp;"Ubuntu,Félkövér"ÁFÁ-t &amp;12nem&amp;"Ubuntu,Normál" &amp;10tartalmazzák</oddHeader>
    <oddFooter>&amp;Linfo@sl-lemezkereskedes.hu&amp;C+36-30/203-07-19
+36-30/326-73-33
+36-30/203-09-19&amp;RNyitvatartás:
Hétfőtől - Péntekig 7:30 - 16:30
Szombat 7:30 - 12:30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23CA28E-D837-41F9-BE22-7453F255A4A9}">
          <x14:formula1>
            <xm:f>'Cserepes adatok'!$A$2:$A$9</xm:f>
          </x14:formula1>
          <xm:sqref>A5:B5</xm:sqref>
        </x14:dataValidation>
        <x14:dataValidation type="list" allowBlank="1" showInputMessage="1" showErrorMessage="1" xr:uid="{076B4AD9-D1C0-4939-866F-6D1C6D145DEB}">
          <x14:formula1>
            <xm:f>'Cserepes adatok'!$D$2:$D$6</xm:f>
          </x14:formula1>
          <xm:sqref>F5</xm:sqref>
        </x14:dataValidation>
        <x14:dataValidation type="list" allowBlank="1" showInputMessage="1" showErrorMessage="1" xr:uid="{50F74866-FF5C-4EE5-9FC5-F8491652A574}">
          <x14:formula1>
            <xm:f>'Cserepes adatok'!$J$2:$J$20</xm:f>
          </x14:formula1>
          <xm:sqref>C5</xm:sqref>
        </x14:dataValidation>
        <x14:dataValidation type="list" allowBlank="1" showInputMessage="1" showErrorMessage="1" xr:uid="{B4B06224-6525-4FA5-9D57-378E548D3812}">
          <x14:formula1>
            <xm:f>'Cserepes adatok'!$H$2:$H$3</xm:f>
          </x14:formula1>
          <xm:sqref>G5</xm:sqref>
        </x14:dataValidation>
        <x14:dataValidation type="list" allowBlank="1" showInputMessage="1" showErrorMessage="1" xr:uid="{7F2B067A-C313-4383-85CB-702B92EFA30B}">
          <x14:formula1>
            <xm:f>'Cserepes adatok'!$F$2:$F$5</xm:f>
          </x14:formula1>
          <xm:sqref>D5:E5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A2D9-5B58-4E04-B264-6C44E7C397ED}">
  <sheetPr>
    <tabColor theme="7" tint="0.59999389629810485"/>
  </sheetPr>
  <dimension ref="A1:J201"/>
  <sheetViews>
    <sheetView tabSelected="1" view="pageLayout" zoomScaleNormal="100" workbookViewId="0">
      <selection activeCell="F25" sqref="F25"/>
    </sheetView>
  </sheetViews>
  <sheetFormatPr defaultRowHeight="15.75" x14ac:dyDescent="0.25"/>
  <cols>
    <col min="1" max="1" width="3" bestFit="1" customWidth="1"/>
    <col min="2" max="2" width="12" bestFit="1" customWidth="1"/>
    <col min="3" max="3" width="9.25" customWidth="1"/>
    <col min="4" max="4" width="6.25" customWidth="1"/>
    <col min="7" max="8" width="10.5" customWidth="1"/>
  </cols>
  <sheetData>
    <row r="1" spans="1:10" ht="19.5" customHeight="1" x14ac:dyDescent="0.25">
      <c r="A1" s="108" t="s">
        <v>52</v>
      </c>
      <c r="B1" s="108"/>
      <c r="C1" s="37"/>
      <c r="D1" s="37"/>
      <c r="E1" s="38"/>
      <c r="F1" s="108" t="s">
        <v>0</v>
      </c>
      <c r="G1" s="108"/>
      <c r="H1" s="40"/>
      <c r="I1" s="40"/>
      <c r="J1" s="40"/>
    </row>
    <row r="2" spans="1:10" ht="17.25" customHeight="1" x14ac:dyDescent="0.25">
      <c r="A2" s="109"/>
      <c r="B2" s="109"/>
      <c r="C2" s="69"/>
      <c r="D2" s="70"/>
      <c r="E2" s="71"/>
      <c r="F2" s="108" t="s">
        <v>1</v>
      </c>
      <c r="G2" s="108"/>
      <c r="H2" s="42"/>
      <c r="I2" s="42"/>
      <c r="J2" s="40"/>
    </row>
    <row r="3" spans="1:10" ht="19.5" customHeight="1" x14ac:dyDescent="0.3">
      <c r="A3" s="110" t="s">
        <v>53</v>
      </c>
      <c r="B3" s="110"/>
      <c r="C3" s="205"/>
      <c r="D3" s="205"/>
      <c r="E3" s="206"/>
      <c r="F3" s="109" t="s">
        <v>2</v>
      </c>
      <c r="G3" s="109"/>
      <c r="H3" s="72"/>
      <c r="I3" s="44"/>
      <c r="J3" s="44"/>
    </row>
    <row r="4" spans="1:10" x14ac:dyDescent="0.25">
      <c r="A4" s="193" t="s">
        <v>36</v>
      </c>
      <c r="B4" s="193"/>
      <c r="C4" s="78" t="s">
        <v>82</v>
      </c>
      <c r="D4" s="193" t="s">
        <v>6</v>
      </c>
      <c r="E4" s="193"/>
      <c r="F4" s="79" t="s">
        <v>81</v>
      </c>
      <c r="G4" s="80" t="s">
        <v>37</v>
      </c>
      <c r="H4" s="165" t="s">
        <v>7</v>
      </c>
      <c r="I4" s="165"/>
      <c r="J4" s="45" t="s">
        <v>3</v>
      </c>
    </row>
    <row r="5" spans="1:10" ht="30.75" customHeight="1" x14ac:dyDescent="0.25">
      <c r="A5" s="117" t="s">
        <v>131</v>
      </c>
      <c r="B5" s="117"/>
      <c r="C5" s="74"/>
      <c r="D5" s="118"/>
      <c r="E5" s="119"/>
      <c r="F5" s="46"/>
      <c r="G5" s="46"/>
      <c r="H5" s="126"/>
      <c r="I5" s="127"/>
      <c r="J5" s="48"/>
    </row>
    <row r="6" spans="1:10" ht="25.5" x14ac:dyDescent="0.25">
      <c r="A6" s="17"/>
      <c r="B6" s="68" t="s">
        <v>9</v>
      </c>
      <c r="C6" s="68" t="s">
        <v>10</v>
      </c>
      <c r="D6" s="68" t="s">
        <v>11</v>
      </c>
      <c r="E6" s="68" t="s">
        <v>12</v>
      </c>
      <c r="F6" s="68" t="s">
        <v>13</v>
      </c>
      <c r="G6" s="68" t="s">
        <v>14</v>
      </c>
      <c r="H6" s="68" t="s">
        <v>15</v>
      </c>
      <c r="I6" s="37"/>
      <c r="J6" s="166" t="s">
        <v>163</v>
      </c>
    </row>
    <row r="7" spans="1:10" x14ac:dyDescent="0.25">
      <c r="A7" s="50" t="s">
        <v>16</v>
      </c>
      <c r="B7" s="62">
        <f>VLOOKUP($A$5,'Trapéz adatok'!$A$2:$B$17,2,FALSE)</f>
        <v>1.18</v>
      </c>
      <c r="C7" s="62"/>
      <c r="D7" s="28"/>
      <c r="E7" s="63">
        <f>B7*C7*D7</f>
        <v>0</v>
      </c>
      <c r="F7" s="64">
        <f>$H$5</f>
        <v>0</v>
      </c>
      <c r="G7" s="64">
        <f>E7*F7</f>
        <v>0</v>
      </c>
      <c r="H7" s="64">
        <f>G7*1.27</f>
        <v>0</v>
      </c>
      <c r="I7" s="37"/>
      <c r="J7" s="167"/>
    </row>
    <row r="8" spans="1:10" x14ac:dyDescent="0.25">
      <c r="A8" s="50" t="s">
        <v>17</v>
      </c>
      <c r="B8" s="62">
        <f>VLOOKUP($A$5,'Trapéz adatok'!$A$2:$B$17,2,FALSE)</f>
        <v>1.18</v>
      </c>
      <c r="C8" s="62"/>
      <c r="D8" s="28"/>
      <c r="E8" s="63">
        <f t="shared" ref="E8:E24" si="0">B8*C8*D8</f>
        <v>0</v>
      </c>
      <c r="F8" s="64">
        <f t="shared" ref="F8:F25" si="1">$H$5</f>
        <v>0</v>
      </c>
      <c r="G8" s="64">
        <f t="shared" ref="G8:G25" si="2">E8*F8</f>
        <v>0</v>
      </c>
      <c r="H8" s="64">
        <f t="shared" ref="H8:H25" si="3">G8*1.27</f>
        <v>0</v>
      </c>
      <c r="I8" s="37"/>
      <c r="J8" s="106"/>
    </row>
    <row r="9" spans="1:10" x14ac:dyDescent="0.25">
      <c r="A9" s="50" t="s">
        <v>18</v>
      </c>
      <c r="B9" s="62">
        <f>VLOOKUP($A$5,'Trapéz adatok'!$A$2:$B$17,2,FALSE)</f>
        <v>1.18</v>
      </c>
      <c r="C9" s="62"/>
      <c r="D9" s="28"/>
      <c r="E9" s="63">
        <f t="shared" si="0"/>
        <v>0</v>
      </c>
      <c r="F9" s="64">
        <f t="shared" si="1"/>
        <v>0</v>
      </c>
      <c r="G9" s="64">
        <f t="shared" si="2"/>
        <v>0</v>
      </c>
      <c r="H9" s="64">
        <f t="shared" si="3"/>
        <v>0</v>
      </c>
      <c r="I9" s="37"/>
      <c r="J9" s="107"/>
    </row>
    <row r="10" spans="1:10" x14ac:dyDescent="0.25">
      <c r="A10" s="50" t="s">
        <v>19</v>
      </c>
      <c r="B10" s="62">
        <f>VLOOKUP($A$5,'Trapéz adatok'!$A$2:$B$17,2,FALSE)</f>
        <v>1.18</v>
      </c>
      <c r="C10" s="62"/>
      <c r="D10" s="28"/>
      <c r="E10" s="63">
        <f t="shared" si="0"/>
        <v>0</v>
      </c>
      <c r="F10" s="64">
        <f t="shared" si="1"/>
        <v>0</v>
      </c>
      <c r="G10" s="64">
        <f t="shared" si="2"/>
        <v>0</v>
      </c>
      <c r="H10" s="64">
        <f t="shared" si="3"/>
        <v>0</v>
      </c>
      <c r="I10" s="37"/>
      <c r="J10" s="38"/>
    </row>
    <row r="11" spans="1:10" x14ac:dyDescent="0.25">
      <c r="A11" s="50" t="s">
        <v>20</v>
      </c>
      <c r="B11" s="62">
        <f>VLOOKUP($A$5,'Trapéz adatok'!$A$2:$B$17,2,FALSE)</f>
        <v>1.18</v>
      </c>
      <c r="C11" s="62"/>
      <c r="D11" s="28"/>
      <c r="E11" s="63">
        <f t="shared" si="0"/>
        <v>0</v>
      </c>
      <c r="F11" s="64">
        <f t="shared" si="1"/>
        <v>0</v>
      </c>
      <c r="G11" s="64">
        <f t="shared" si="2"/>
        <v>0</v>
      </c>
      <c r="H11" s="64">
        <f t="shared" si="3"/>
        <v>0</v>
      </c>
      <c r="I11" s="37"/>
      <c r="J11" s="38"/>
    </row>
    <row r="12" spans="1:10" x14ac:dyDescent="0.25">
      <c r="A12" s="50" t="s">
        <v>21</v>
      </c>
      <c r="B12" s="62">
        <f>VLOOKUP($A$5,'Trapéz adatok'!$A$2:$B$17,2,FALSE)</f>
        <v>1.18</v>
      </c>
      <c r="C12" s="62"/>
      <c r="D12" s="28"/>
      <c r="E12" s="63">
        <f t="shared" si="0"/>
        <v>0</v>
      </c>
      <c r="F12" s="64">
        <f t="shared" si="1"/>
        <v>0</v>
      </c>
      <c r="G12" s="64">
        <f t="shared" si="2"/>
        <v>0</v>
      </c>
      <c r="H12" s="64">
        <f t="shared" si="3"/>
        <v>0</v>
      </c>
      <c r="I12" s="37"/>
      <c r="J12" s="38"/>
    </row>
    <row r="13" spans="1:10" x14ac:dyDescent="0.25">
      <c r="A13" s="50" t="s">
        <v>22</v>
      </c>
      <c r="B13" s="62">
        <f>VLOOKUP($A$5,'Trapéz adatok'!$A$2:$B$17,2,FALSE)</f>
        <v>1.18</v>
      </c>
      <c r="C13" s="62"/>
      <c r="D13" s="28"/>
      <c r="E13" s="63">
        <f t="shared" si="0"/>
        <v>0</v>
      </c>
      <c r="F13" s="64">
        <f t="shared" si="1"/>
        <v>0</v>
      </c>
      <c r="G13" s="64">
        <f t="shared" si="2"/>
        <v>0</v>
      </c>
      <c r="H13" s="64">
        <f t="shared" si="3"/>
        <v>0</v>
      </c>
      <c r="I13" s="37"/>
      <c r="J13" s="38"/>
    </row>
    <row r="14" spans="1:10" x14ac:dyDescent="0.25">
      <c r="A14" s="50" t="s">
        <v>23</v>
      </c>
      <c r="B14" s="62">
        <f>VLOOKUP($A$5,'Trapéz adatok'!$A$2:$B$17,2,FALSE)</f>
        <v>1.18</v>
      </c>
      <c r="C14" s="62"/>
      <c r="D14" s="28"/>
      <c r="E14" s="63">
        <f t="shared" si="0"/>
        <v>0</v>
      </c>
      <c r="F14" s="64">
        <f t="shared" si="1"/>
        <v>0</v>
      </c>
      <c r="G14" s="64">
        <f t="shared" si="2"/>
        <v>0</v>
      </c>
      <c r="H14" s="64">
        <f t="shared" si="3"/>
        <v>0</v>
      </c>
      <c r="I14" s="37"/>
      <c r="J14" s="38"/>
    </row>
    <row r="15" spans="1:10" x14ac:dyDescent="0.25">
      <c r="A15" s="50" t="s">
        <v>24</v>
      </c>
      <c r="B15" s="62">
        <f>VLOOKUP($A$5,'Trapéz adatok'!$A$2:$B$17,2,FALSE)</f>
        <v>1.18</v>
      </c>
      <c r="C15" s="62"/>
      <c r="D15" s="28"/>
      <c r="E15" s="63">
        <f t="shared" si="0"/>
        <v>0</v>
      </c>
      <c r="F15" s="64">
        <f t="shared" si="1"/>
        <v>0</v>
      </c>
      <c r="G15" s="64">
        <f t="shared" si="2"/>
        <v>0</v>
      </c>
      <c r="H15" s="64">
        <f t="shared" si="3"/>
        <v>0</v>
      </c>
      <c r="I15" s="37"/>
      <c r="J15" s="38"/>
    </row>
    <row r="16" spans="1:10" x14ac:dyDescent="0.25">
      <c r="A16" s="50" t="s">
        <v>25</v>
      </c>
      <c r="B16" s="62">
        <f>VLOOKUP($A$5,'Trapéz adatok'!$A$2:$B$17,2,FALSE)</f>
        <v>1.18</v>
      </c>
      <c r="C16" s="62"/>
      <c r="D16" s="28"/>
      <c r="E16" s="63">
        <f t="shared" si="0"/>
        <v>0</v>
      </c>
      <c r="F16" s="64">
        <f t="shared" si="1"/>
        <v>0</v>
      </c>
      <c r="G16" s="64">
        <f t="shared" si="2"/>
        <v>0</v>
      </c>
      <c r="H16" s="64">
        <f t="shared" si="3"/>
        <v>0</v>
      </c>
      <c r="I16" s="37"/>
      <c r="J16" s="38"/>
    </row>
    <row r="17" spans="1:10" x14ac:dyDescent="0.25">
      <c r="A17" s="50" t="s">
        <v>26</v>
      </c>
      <c r="B17" s="62">
        <f>VLOOKUP($A$5,'Trapéz adatok'!$A$2:$B$17,2,FALSE)</f>
        <v>1.18</v>
      </c>
      <c r="C17" s="62"/>
      <c r="D17" s="28"/>
      <c r="E17" s="63">
        <f t="shared" si="0"/>
        <v>0</v>
      </c>
      <c r="F17" s="64">
        <f t="shared" si="1"/>
        <v>0</v>
      </c>
      <c r="G17" s="64">
        <f t="shared" si="2"/>
        <v>0</v>
      </c>
      <c r="H17" s="64">
        <f t="shared" si="3"/>
        <v>0</v>
      </c>
      <c r="I17" s="37"/>
      <c r="J17" s="38"/>
    </row>
    <row r="18" spans="1:10" x14ac:dyDescent="0.25">
      <c r="A18" s="50" t="s">
        <v>27</v>
      </c>
      <c r="B18" s="62">
        <f>VLOOKUP($A$5,'Trapéz adatok'!$A$2:$B$17,2,FALSE)</f>
        <v>1.18</v>
      </c>
      <c r="C18" s="62"/>
      <c r="D18" s="28"/>
      <c r="E18" s="63">
        <f t="shared" si="0"/>
        <v>0</v>
      </c>
      <c r="F18" s="64">
        <f t="shared" si="1"/>
        <v>0</v>
      </c>
      <c r="G18" s="64">
        <f t="shared" si="2"/>
        <v>0</v>
      </c>
      <c r="H18" s="64">
        <f t="shared" si="3"/>
        <v>0</v>
      </c>
      <c r="I18" s="37"/>
      <c r="J18" s="38"/>
    </row>
    <row r="19" spans="1:10" x14ac:dyDescent="0.25">
      <c r="A19" s="50" t="s">
        <v>28</v>
      </c>
      <c r="B19" s="62">
        <f>VLOOKUP($A$5,'Trapéz adatok'!$A$2:$B$17,2,FALSE)</f>
        <v>1.18</v>
      </c>
      <c r="C19" s="62"/>
      <c r="D19" s="28"/>
      <c r="E19" s="63">
        <f t="shared" si="0"/>
        <v>0</v>
      </c>
      <c r="F19" s="64">
        <f t="shared" si="1"/>
        <v>0</v>
      </c>
      <c r="G19" s="64">
        <f t="shared" si="2"/>
        <v>0</v>
      </c>
      <c r="H19" s="64">
        <f t="shared" si="3"/>
        <v>0</v>
      </c>
      <c r="I19" s="37"/>
      <c r="J19" s="38"/>
    </row>
    <row r="20" spans="1:10" x14ac:dyDescent="0.25">
      <c r="A20" s="50" t="s">
        <v>29</v>
      </c>
      <c r="B20" s="62">
        <f>VLOOKUP($A$5,'Trapéz adatok'!$A$2:$B$17,2,FALSE)</f>
        <v>1.18</v>
      </c>
      <c r="C20" s="62"/>
      <c r="D20" s="28"/>
      <c r="E20" s="63">
        <f t="shared" si="0"/>
        <v>0</v>
      </c>
      <c r="F20" s="64">
        <f t="shared" si="1"/>
        <v>0</v>
      </c>
      <c r="G20" s="64">
        <f t="shared" si="2"/>
        <v>0</v>
      </c>
      <c r="H20" s="64">
        <f t="shared" si="3"/>
        <v>0</v>
      </c>
      <c r="I20" s="37"/>
      <c r="J20" s="38"/>
    </row>
    <row r="21" spans="1:10" x14ac:dyDescent="0.25">
      <c r="A21" s="50" t="s">
        <v>30</v>
      </c>
      <c r="B21" s="62">
        <f>VLOOKUP($A$5,'Trapéz adatok'!$A$2:$B$17,2,FALSE)</f>
        <v>1.18</v>
      </c>
      <c r="C21" s="62"/>
      <c r="D21" s="28"/>
      <c r="E21" s="63">
        <f t="shared" si="0"/>
        <v>0</v>
      </c>
      <c r="F21" s="64">
        <f t="shared" si="1"/>
        <v>0</v>
      </c>
      <c r="G21" s="64">
        <f t="shared" si="2"/>
        <v>0</v>
      </c>
      <c r="H21" s="64">
        <f t="shared" si="3"/>
        <v>0</v>
      </c>
      <c r="I21" s="37"/>
      <c r="J21" s="38"/>
    </row>
    <row r="22" spans="1:10" x14ac:dyDescent="0.25">
      <c r="A22" s="50" t="s">
        <v>31</v>
      </c>
      <c r="B22" s="62">
        <f>VLOOKUP($A$5,'Trapéz adatok'!$A$2:$B$17,2,FALSE)</f>
        <v>1.18</v>
      </c>
      <c r="C22" s="62"/>
      <c r="D22" s="28"/>
      <c r="E22" s="63">
        <f t="shared" si="0"/>
        <v>0</v>
      </c>
      <c r="F22" s="64">
        <f t="shared" si="1"/>
        <v>0</v>
      </c>
      <c r="G22" s="64">
        <f t="shared" si="2"/>
        <v>0</v>
      </c>
      <c r="H22" s="64">
        <f t="shared" si="3"/>
        <v>0</v>
      </c>
      <c r="I22" s="37"/>
      <c r="J22" s="38"/>
    </row>
    <row r="23" spans="1:10" x14ac:dyDescent="0.25">
      <c r="A23" s="50" t="s">
        <v>32</v>
      </c>
      <c r="B23" s="62">
        <f>VLOOKUP($A$5,'Trapéz adatok'!$A$2:$B$17,2,FALSE)</f>
        <v>1.18</v>
      </c>
      <c r="C23" s="62"/>
      <c r="D23" s="28"/>
      <c r="E23" s="63">
        <f t="shared" si="0"/>
        <v>0</v>
      </c>
      <c r="F23" s="64">
        <f t="shared" si="1"/>
        <v>0</v>
      </c>
      <c r="G23" s="64">
        <f t="shared" si="2"/>
        <v>0</v>
      </c>
      <c r="H23" s="64">
        <f t="shared" si="3"/>
        <v>0</v>
      </c>
      <c r="I23" s="37"/>
      <c r="J23" s="38"/>
    </row>
    <row r="24" spans="1:10" x14ac:dyDescent="0.25">
      <c r="A24" s="50" t="s">
        <v>33</v>
      </c>
      <c r="B24" s="62">
        <f>VLOOKUP($A$5,'Trapéz adatok'!$A$2:$B$17,2,FALSE)</f>
        <v>1.18</v>
      </c>
      <c r="C24" s="62"/>
      <c r="D24" s="28"/>
      <c r="E24" s="63">
        <f t="shared" si="0"/>
        <v>0</v>
      </c>
      <c r="F24" s="64">
        <f t="shared" si="1"/>
        <v>0</v>
      </c>
      <c r="G24" s="64">
        <f t="shared" si="2"/>
        <v>0</v>
      </c>
      <c r="H24" s="64">
        <f t="shared" si="3"/>
        <v>0</v>
      </c>
      <c r="I24" s="37"/>
      <c r="J24" s="38"/>
    </row>
    <row r="25" spans="1:10" x14ac:dyDescent="0.25">
      <c r="A25" s="65"/>
      <c r="B25" s="149" t="s">
        <v>38</v>
      </c>
      <c r="C25" s="149"/>
      <c r="D25" s="149"/>
      <c r="E25" s="61">
        <f>SUM(E7:E24)</f>
        <v>0</v>
      </c>
      <c r="F25" s="55"/>
      <c r="G25" s="55">
        <f t="shared" si="2"/>
        <v>0</v>
      </c>
      <c r="H25" s="55">
        <f t="shared" si="3"/>
        <v>0</v>
      </c>
      <c r="I25" s="37"/>
      <c r="J25" s="38"/>
    </row>
    <row r="26" spans="1:10" x14ac:dyDescent="0.25">
      <c r="A26" s="52"/>
      <c r="B26" s="192" t="s">
        <v>39</v>
      </c>
      <c r="C26" s="192"/>
      <c r="D26" s="192"/>
      <c r="E26" s="192"/>
      <c r="F26" s="192"/>
      <c r="G26" s="192"/>
      <c r="H26" s="192"/>
      <c r="I26" s="37"/>
      <c r="J26" s="38"/>
    </row>
    <row r="27" spans="1:10" x14ac:dyDescent="0.25">
      <c r="A27" s="52"/>
      <c r="B27" s="54" t="s">
        <v>40</v>
      </c>
      <c r="C27" s="53" t="s">
        <v>41</v>
      </c>
      <c r="D27" s="191" t="s">
        <v>13</v>
      </c>
      <c r="E27" s="191"/>
      <c r="F27" s="191" t="s">
        <v>14</v>
      </c>
      <c r="G27" s="191"/>
      <c r="H27" s="191" t="s">
        <v>15</v>
      </c>
      <c r="I27" s="191"/>
      <c r="J27" s="38"/>
    </row>
    <row r="28" spans="1:10" x14ac:dyDescent="0.25">
      <c r="A28" s="52"/>
      <c r="B28" s="17" t="s">
        <v>139</v>
      </c>
      <c r="C28" s="29"/>
      <c r="D28" s="176"/>
      <c r="E28" s="177"/>
      <c r="F28" s="176">
        <f>C28*D28</f>
        <v>0</v>
      </c>
      <c r="G28" s="177"/>
      <c r="H28" s="176">
        <f>F28*1.27</f>
        <v>0</v>
      </c>
      <c r="I28" s="177"/>
      <c r="J28" s="38"/>
    </row>
    <row r="29" spans="1:10" x14ac:dyDescent="0.25">
      <c r="A29" s="52"/>
      <c r="B29" s="17" t="s">
        <v>42</v>
      </c>
      <c r="C29" s="27"/>
      <c r="D29" s="176"/>
      <c r="E29" s="177"/>
      <c r="F29" s="176">
        <f t="shared" ref="F29:F41" si="4">C29*D29</f>
        <v>0</v>
      </c>
      <c r="G29" s="177"/>
      <c r="H29" s="176">
        <f t="shared" ref="H29:H41" si="5">F29*1.27</f>
        <v>0</v>
      </c>
      <c r="I29" s="177"/>
      <c r="J29" s="38"/>
    </row>
    <row r="30" spans="1:10" x14ac:dyDescent="0.25">
      <c r="A30" s="52"/>
      <c r="B30" s="17" t="s">
        <v>43</v>
      </c>
      <c r="C30" s="27"/>
      <c r="D30" s="176"/>
      <c r="E30" s="177"/>
      <c r="F30" s="176">
        <f t="shared" si="4"/>
        <v>0</v>
      </c>
      <c r="G30" s="177"/>
      <c r="H30" s="176">
        <f t="shared" si="5"/>
        <v>0</v>
      </c>
      <c r="I30" s="177"/>
      <c r="J30" s="38"/>
    </row>
    <row r="31" spans="1:10" x14ac:dyDescent="0.25">
      <c r="A31" s="52"/>
      <c r="B31" s="17" t="s">
        <v>44</v>
      </c>
      <c r="C31" s="27"/>
      <c r="D31" s="176"/>
      <c r="E31" s="177"/>
      <c r="F31" s="176">
        <f t="shared" si="4"/>
        <v>0</v>
      </c>
      <c r="G31" s="177"/>
      <c r="H31" s="176">
        <f t="shared" si="5"/>
        <v>0</v>
      </c>
      <c r="I31" s="177"/>
      <c r="J31" s="38"/>
    </row>
    <row r="32" spans="1:10" x14ac:dyDescent="0.25">
      <c r="A32" s="52"/>
      <c r="B32" s="17" t="s">
        <v>122</v>
      </c>
      <c r="C32" s="27"/>
      <c r="D32" s="176"/>
      <c r="E32" s="177"/>
      <c r="F32" s="176">
        <f t="shared" si="4"/>
        <v>0</v>
      </c>
      <c r="G32" s="177"/>
      <c r="H32" s="176">
        <f t="shared" si="5"/>
        <v>0</v>
      </c>
      <c r="I32" s="177"/>
      <c r="J32" s="38"/>
    </row>
    <row r="33" spans="1:10" x14ac:dyDescent="0.25">
      <c r="A33" s="52"/>
      <c r="B33" s="17" t="s">
        <v>46</v>
      </c>
      <c r="C33" s="27"/>
      <c r="D33" s="176"/>
      <c r="E33" s="177"/>
      <c r="F33" s="176">
        <f t="shared" si="4"/>
        <v>0</v>
      </c>
      <c r="G33" s="177"/>
      <c r="H33" s="176">
        <f t="shared" si="5"/>
        <v>0</v>
      </c>
      <c r="I33" s="177"/>
      <c r="J33" s="38"/>
    </row>
    <row r="34" spans="1:10" x14ac:dyDescent="0.25">
      <c r="A34" s="52"/>
      <c r="B34" s="17" t="s">
        <v>140</v>
      </c>
      <c r="C34" s="27"/>
      <c r="D34" s="176"/>
      <c r="E34" s="177"/>
      <c r="F34" s="176">
        <f t="shared" si="4"/>
        <v>0</v>
      </c>
      <c r="G34" s="177"/>
      <c r="H34" s="176">
        <f t="shared" si="5"/>
        <v>0</v>
      </c>
      <c r="I34" s="177"/>
      <c r="J34" s="38"/>
    </row>
    <row r="35" spans="1:10" x14ac:dyDescent="0.25">
      <c r="A35" s="52"/>
      <c r="B35" s="17" t="s">
        <v>47</v>
      </c>
      <c r="C35" s="27"/>
      <c r="D35" s="176"/>
      <c r="E35" s="177"/>
      <c r="F35" s="176">
        <f t="shared" si="4"/>
        <v>0</v>
      </c>
      <c r="G35" s="177"/>
      <c r="H35" s="176">
        <f t="shared" si="5"/>
        <v>0</v>
      </c>
      <c r="I35" s="177"/>
      <c r="J35" s="38"/>
    </row>
    <row r="36" spans="1:10" x14ac:dyDescent="0.25">
      <c r="A36" s="52"/>
      <c r="B36" s="17" t="s">
        <v>48</v>
      </c>
      <c r="C36" s="27"/>
      <c r="D36" s="176"/>
      <c r="E36" s="177"/>
      <c r="F36" s="176">
        <f t="shared" si="4"/>
        <v>0</v>
      </c>
      <c r="G36" s="177"/>
      <c r="H36" s="176">
        <f t="shared" si="5"/>
        <v>0</v>
      </c>
      <c r="I36" s="177"/>
      <c r="J36" s="38"/>
    </row>
    <row r="37" spans="1:10" x14ac:dyDescent="0.25">
      <c r="A37" s="52"/>
      <c r="B37" s="17" t="s">
        <v>49</v>
      </c>
      <c r="C37" s="27"/>
      <c r="D37" s="176"/>
      <c r="E37" s="177"/>
      <c r="F37" s="176">
        <f t="shared" si="4"/>
        <v>0</v>
      </c>
      <c r="G37" s="177"/>
      <c r="H37" s="176">
        <f t="shared" si="5"/>
        <v>0</v>
      </c>
      <c r="I37" s="177"/>
      <c r="J37" s="38"/>
    </row>
    <row r="38" spans="1:10" x14ac:dyDescent="0.25">
      <c r="A38" s="52"/>
      <c r="B38" s="17" t="s">
        <v>50</v>
      </c>
      <c r="C38" s="29"/>
      <c r="D38" s="176"/>
      <c r="E38" s="177"/>
      <c r="F38" s="176">
        <f t="shared" si="4"/>
        <v>0</v>
      </c>
      <c r="G38" s="177"/>
      <c r="H38" s="176">
        <f t="shared" si="5"/>
        <v>0</v>
      </c>
      <c r="I38" s="177"/>
      <c r="J38" s="38"/>
    </row>
    <row r="39" spans="1:10" x14ac:dyDescent="0.25">
      <c r="A39" s="52"/>
      <c r="B39" s="17" t="s">
        <v>51</v>
      </c>
      <c r="C39" s="29"/>
      <c r="D39" s="176"/>
      <c r="E39" s="177"/>
      <c r="F39" s="176">
        <f t="shared" si="4"/>
        <v>0</v>
      </c>
      <c r="G39" s="177"/>
      <c r="H39" s="176">
        <f t="shared" si="5"/>
        <v>0</v>
      </c>
      <c r="I39" s="177"/>
      <c r="J39" s="38"/>
    </row>
    <row r="40" spans="1:10" x14ac:dyDescent="0.25">
      <c r="A40" s="52"/>
      <c r="B40" s="17" t="s">
        <v>54</v>
      </c>
      <c r="C40" s="29"/>
      <c r="D40" s="176"/>
      <c r="E40" s="177"/>
      <c r="F40" s="176">
        <f t="shared" si="4"/>
        <v>0</v>
      </c>
      <c r="G40" s="177"/>
      <c r="H40" s="176">
        <f t="shared" si="5"/>
        <v>0</v>
      </c>
      <c r="I40" s="177"/>
      <c r="J40" s="38"/>
    </row>
    <row r="41" spans="1:10" x14ac:dyDescent="0.25">
      <c r="A41" s="52"/>
      <c r="B41" s="17" t="s">
        <v>116</v>
      </c>
      <c r="C41" s="27"/>
      <c r="D41" s="176"/>
      <c r="E41" s="177"/>
      <c r="F41" s="176">
        <f t="shared" si="4"/>
        <v>0</v>
      </c>
      <c r="G41" s="177"/>
      <c r="H41" s="176">
        <f t="shared" si="5"/>
        <v>0</v>
      </c>
      <c r="I41" s="177"/>
      <c r="J41" s="38"/>
    </row>
    <row r="42" spans="1:10" x14ac:dyDescent="0.25">
      <c r="A42" s="52"/>
      <c r="B42" s="149" t="s">
        <v>38</v>
      </c>
      <c r="C42" s="149"/>
      <c r="D42" s="149"/>
      <c r="E42" s="149"/>
      <c r="F42" s="204">
        <f>SUM(F28:F41)</f>
        <v>0</v>
      </c>
      <c r="G42" s="204"/>
      <c r="H42" s="204">
        <f t="shared" ref="H42" si="6">F42*1.27</f>
        <v>0</v>
      </c>
      <c r="I42" s="204"/>
      <c r="J42" s="38"/>
    </row>
    <row r="43" spans="1:10" ht="17.25" customHeight="1" x14ac:dyDescent="0.25">
      <c r="A43" s="52"/>
      <c r="B43" s="164" t="s">
        <v>55</v>
      </c>
      <c r="C43" s="164"/>
      <c r="D43" s="150">
        <f>G25+F42</f>
        <v>0</v>
      </c>
      <c r="E43" s="151"/>
      <c r="F43" s="165" t="s">
        <v>57</v>
      </c>
      <c r="G43" s="165"/>
      <c r="H43" s="150">
        <f>H25+H42</f>
        <v>0</v>
      </c>
      <c r="I43" s="151"/>
      <c r="J43" s="38"/>
    </row>
    <row r="44" spans="1:10" ht="13.5" customHeight="1" x14ac:dyDescent="0.25">
      <c r="A44" s="52"/>
      <c r="B44" s="184" t="s">
        <v>56</v>
      </c>
      <c r="C44" s="184"/>
      <c r="D44" s="169"/>
      <c r="E44" s="169"/>
      <c r="F44" s="168"/>
      <c r="G44" s="168"/>
      <c r="H44" s="169"/>
      <c r="I44" s="169"/>
      <c r="J44" s="38"/>
    </row>
    <row r="45" spans="1:10" ht="11.25" customHeight="1" x14ac:dyDescent="0.25">
      <c r="A45" s="178" t="s">
        <v>58</v>
      </c>
      <c r="B45" s="179"/>
      <c r="C45" s="179"/>
      <c r="D45" s="179"/>
      <c r="E45" s="179"/>
      <c r="F45" s="179"/>
      <c r="G45" s="179"/>
      <c r="H45" s="179"/>
      <c r="I45" s="179"/>
      <c r="J45" s="180"/>
    </row>
    <row r="46" spans="1:10" ht="16.5" thickBot="1" x14ac:dyDescent="0.3">
      <c r="A46" s="181"/>
      <c r="B46" s="182"/>
      <c r="C46" s="182"/>
      <c r="D46" s="182"/>
      <c r="E46" s="182"/>
      <c r="F46" s="182"/>
      <c r="G46" s="182"/>
      <c r="H46" s="182"/>
      <c r="I46" s="182"/>
      <c r="J46" s="183"/>
    </row>
    <row r="47" spans="1:10" ht="27" customHeight="1" thickBot="1" x14ac:dyDescent="0.3">
      <c r="A47" s="200" t="s">
        <v>59</v>
      </c>
      <c r="B47" s="201"/>
      <c r="C47" s="201"/>
      <c r="D47" s="201"/>
      <c r="E47" s="201"/>
      <c r="F47" s="187" t="s">
        <v>124</v>
      </c>
      <c r="G47" s="188"/>
      <c r="H47" s="202" t="s">
        <v>167</v>
      </c>
      <c r="I47" s="202"/>
      <c r="J47" s="203"/>
    </row>
    <row r="48" spans="1:10" x14ac:dyDescent="0.25">
      <c r="A48" s="143" t="s">
        <v>93</v>
      </c>
      <c r="B48" s="144"/>
      <c r="C48" s="144"/>
      <c r="D48" s="144"/>
      <c r="E48" s="144"/>
      <c r="F48" s="144"/>
      <c r="G48" s="144"/>
      <c r="H48" s="144"/>
      <c r="I48" s="144"/>
      <c r="J48" s="145"/>
    </row>
    <row r="49" spans="1:10" x14ac:dyDescent="0.25">
      <c r="A49" s="146"/>
      <c r="B49" s="147"/>
      <c r="C49" s="147"/>
      <c r="D49" s="147"/>
      <c r="E49" s="147"/>
      <c r="F49" s="147"/>
      <c r="G49" s="147"/>
      <c r="H49" s="147"/>
      <c r="I49" s="147"/>
      <c r="J49" s="148"/>
    </row>
    <row r="50" spans="1:10" ht="19.5" customHeight="1" x14ac:dyDescent="0.25">
      <c r="A50" s="199" t="s">
        <v>92</v>
      </c>
      <c r="B50" s="199"/>
      <c r="C50" s="199"/>
      <c r="D50" s="199"/>
      <c r="E50" s="199"/>
      <c r="F50" s="199"/>
      <c r="G50" s="199"/>
      <c r="H50" s="199"/>
      <c r="I50" s="199"/>
      <c r="J50" s="199"/>
    </row>
    <row r="51" spans="1:10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</row>
    <row r="52" spans="1:10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</row>
    <row r="53" spans="1:10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</row>
    <row r="54" spans="1:10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</row>
    <row r="55" spans="1:10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</row>
    <row r="56" spans="1:10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</row>
    <row r="57" spans="1:10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</row>
    <row r="58" spans="1:10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</row>
    <row r="59" spans="1:10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</row>
    <row r="60" spans="1:10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</row>
    <row r="61" spans="1:10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</row>
    <row r="62" spans="1:10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</row>
    <row r="63" spans="1:10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</row>
    <row r="64" spans="1:10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</row>
    <row r="65" spans="1:10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</row>
    <row r="66" spans="1:10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</row>
    <row r="67" spans="1:10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</row>
    <row r="68" spans="1:10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</row>
    <row r="69" spans="1:10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</row>
    <row r="70" spans="1:10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</row>
    <row r="71" spans="1:10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</row>
    <row r="72" spans="1:10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</row>
    <row r="73" spans="1:10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</row>
    <row r="74" spans="1:10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</row>
    <row r="75" spans="1:10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</row>
    <row r="76" spans="1:10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</row>
    <row r="77" spans="1:10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</row>
    <row r="78" spans="1:10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</row>
    <row r="79" spans="1:10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</row>
    <row r="80" spans="1:10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</row>
    <row r="81" spans="1:10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</row>
    <row r="82" spans="1:10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</row>
    <row r="83" spans="1:10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</row>
    <row r="84" spans="1:10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</row>
    <row r="85" spans="1:10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</row>
    <row r="86" spans="1:10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</row>
    <row r="87" spans="1:10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</row>
    <row r="88" spans="1:10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</row>
    <row r="89" spans="1:10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</row>
    <row r="90" spans="1:10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</row>
    <row r="91" spans="1:10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</row>
    <row r="92" spans="1:10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</row>
    <row r="93" spans="1:10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</row>
    <row r="94" spans="1:10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</row>
    <row r="95" spans="1:10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</row>
    <row r="96" spans="1:10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</row>
    <row r="97" spans="1:10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</row>
    <row r="98" spans="1:10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</row>
    <row r="99" spans="1:10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</row>
    <row r="100" spans="1:10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</row>
    <row r="101" spans="1:10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</row>
    <row r="102" spans="1:10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</row>
    <row r="103" spans="1:10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</row>
    <row r="104" spans="1:10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</row>
    <row r="105" spans="1:10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</row>
    <row r="106" spans="1:10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</row>
    <row r="107" spans="1:10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</row>
    <row r="108" spans="1:10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</row>
    <row r="109" spans="1:10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</row>
    <row r="110" spans="1:10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</row>
    <row r="111" spans="1:10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</row>
    <row r="112" spans="1:10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</row>
    <row r="113" spans="1:10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</row>
    <row r="114" spans="1:10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</row>
    <row r="115" spans="1:10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</row>
    <row r="116" spans="1:10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</row>
    <row r="117" spans="1:10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</row>
    <row r="118" spans="1:10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</row>
    <row r="119" spans="1:10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</row>
    <row r="120" spans="1:10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</row>
    <row r="121" spans="1:10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</row>
    <row r="122" spans="1:10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</row>
    <row r="123" spans="1:10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</row>
    <row r="125" spans="1:10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</row>
    <row r="126" spans="1:10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</row>
    <row r="127" spans="1:10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</row>
    <row r="128" spans="1:10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</row>
    <row r="129" spans="1:10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</row>
    <row r="130" spans="1:10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</row>
    <row r="131" spans="1:10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</row>
    <row r="132" spans="1:10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</row>
    <row r="133" spans="1:10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</row>
    <row r="134" spans="1:10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</row>
    <row r="135" spans="1:10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</row>
    <row r="136" spans="1:10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</row>
    <row r="137" spans="1:10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</row>
    <row r="138" spans="1:10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</row>
    <row r="139" spans="1:10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</row>
    <row r="140" spans="1:10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</row>
    <row r="141" spans="1:10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</row>
    <row r="142" spans="1:10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</row>
    <row r="143" spans="1:10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</row>
    <row r="144" spans="1:10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</row>
    <row r="145" spans="1:10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</row>
    <row r="146" spans="1:10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</row>
    <row r="147" spans="1:10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</row>
    <row r="148" spans="1:10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</row>
    <row r="149" spans="1:10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</row>
    <row r="150" spans="1:10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</row>
    <row r="151" spans="1:10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</row>
    <row r="152" spans="1:10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</row>
    <row r="153" spans="1:10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</row>
    <row r="154" spans="1:10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</row>
    <row r="155" spans="1:10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</row>
    <row r="156" spans="1:10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</row>
    <row r="157" spans="1:10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</row>
    <row r="158" spans="1:10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</row>
    <row r="159" spans="1:10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</row>
    <row r="160" spans="1:10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</row>
    <row r="161" spans="1:10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</row>
    <row r="162" spans="1:10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</row>
    <row r="163" spans="1:10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</row>
    <row r="164" spans="1:10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</row>
    <row r="165" spans="1:10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</row>
    <row r="166" spans="1:10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</row>
    <row r="168" spans="1:10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</row>
    <row r="169" spans="1:10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</row>
    <row r="170" spans="1:10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</row>
    <row r="171" spans="1:10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</row>
    <row r="172" spans="1:10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</row>
    <row r="173" spans="1:10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</row>
    <row r="174" spans="1:10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</row>
    <row r="175" spans="1:10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</row>
    <row r="176" spans="1:10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</row>
    <row r="177" spans="1:10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</row>
    <row r="178" spans="1:10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</row>
    <row r="179" spans="1:10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</row>
    <row r="180" spans="1:10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</row>
    <row r="181" spans="1:10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</row>
    <row r="182" spans="1:10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</row>
    <row r="183" spans="1:10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</row>
    <row r="184" spans="1:10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</row>
    <row r="185" spans="1:10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</row>
    <row r="186" spans="1:10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</row>
    <row r="187" spans="1:10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</row>
    <row r="188" spans="1:10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</row>
    <row r="189" spans="1:10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</row>
    <row r="190" spans="1:10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</row>
    <row r="191" spans="1:10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</row>
    <row r="192" spans="1:10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</row>
    <row r="193" spans="1:10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</row>
    <row r="194" spans="1:10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</row>
    <row r="195" spans="1:10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</row>
    <row r="196" spans="1:10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</row>
    <row r="197" spans="1:10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</row>
    <row r="198" spans="1:10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</row>
    <row r="199" spans="1:10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</row>
    <row r="200" spans="1:10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</row>
    <row r="201" spans="1:10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</row>
  </sheetData>
  <mergeCells count="75">
    <mergeCell ref="J8:J9"/>
    <mergeCell ref="A1:B2"/>
    <mergeCell ref="F1:G1"/>
    <mergeCell ref="F2:G2"/>
    <mergeCell ref="A3:B3"/>
    <mergeCell ref="F3:G3"/>
    <mergeCell ref="A4:B4"/>
    <mergeCell ref="D4:E4"/>
    <mergeCell ref="D5:E5"/>
    <mergeCell ref="C3:E3"/>
    <mergeCell ref="J6:J7"/>
    <mergeCell ref="D28:E28"/>
    <mergeCell ref="F28:G28"/>
    <mergeCell ref="H28:I28"/>
    <mergeCell ref="H4:I4"/>
    <mergeCell ref="A5:B5"/>
    <mergeCell ref="H5:I5"/>
    <mergeCell ref="B25:D25"/>
    <mergeCell ref="B26:H26"/>
    <mergeCell ref="D27:E27"/>
    <mergeCell ref="F27:G27"/>
    <mergeCell ref="H27:I27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D36:E36"/>
    <mergeCell ref="F36:G36"/>
    <mergeCell ref="H36:I36"/>
    <mergeCell ref="D37:E37"/>
    <mergeCell ref="F37:G37"/>
    <mergeCell ref="H37:I37"/>
    <mergeCell ref="D38:E38"/>
    <mergeCell ref="F38:G38"/>
    <mergeCell ref="H38:I38"/>
    <mergeCell ref="D39:E39"/>
    <mergeCell ref="F39:G39"/>
    <mergeCell ref="H39:I39"/>
    <mergeCell ref="D40:E40"/>
    <mergeCell ref="F40:G40"/>
    <mergeCell ref="H40:I40"/>
    <mergeCell ref="D41:E41"/>
    <mergeCell ref="F41:G41"/>
    <mergeCell ref="H41:I41"/>
    <mergeCell ref="B42:E42"/>
    <mergeCell ref="F42:G42"/>
    <mergeCell ref="H42:I42"/>
    <mergeCell ref="A48:J49"/>
    <mergeCell ref="A50:J98"/>
    <mergeCell ref="B43:C43"/>
    <mergeCell ref="D43:E44"/>
    <mergeCell ref="F43:G44"/>
    <mergeCell ref="H43:I44"/>
    <mergeCell ref="B44:C44"/>
    <mergeCell ref="A45:J46"/>
    <mergeCell ref="A47:E47"/>
    <mergeCell ref="F47:G47"/>
    <mergeCell ref="H47:J47"/>
  </mergeCells>
  <pageMargins left="0.25" right="0.25" top="0.75" bottom="0.75" header="0.3" footer="0.3"/>
  <pageSetup paperSize="9" fitToWidth="0" fitToHeight="0" orientation="portrait" r:id="rId1"/>
  <headerFooter>
    <oddHeader>&amp;L&amp;G&amp;C&amp;"Ubuntu,Félkövér"&amp;16&amp;KC00000AJÁNLATKÉRŐ LAP
&amp;10&amp;UAz ár érvényesség ideje 1 nap.&amp;R&amp;10Áraink &amp;"Ubuntu,Félkövér"nettó &amp;"Ubuntu,Normál"árak az 
&amp;"Ubuntu,Félkövér"ÁFÁ-t &amp;12nem&amp;"Ubuntu,Normál" &amp;10tartalmazzák</oddHeader>
    <oddFooter>&amp;Linfo@sl-lemezkereskedes.hu&amp;C&amp;10+36-30/203-07-19
+36-30/326-73-33
+36-30/203-09-19&amp;RNyitvatartás:
Hétfőtől - Péntekig 7:30 - 16:30
Szombat 7:30 - 12:30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C12968-0828-4EA1-90D9-828A3400F02F}">
          <x14:formula1>
            <xm:f>'Cserepes adatok'!$H$2:$H$3</xm:f>
          </x14:formula1>
          <xm:sqref>G5</xm:sqref>
        </x14:dataValidation>
        <x14:dataValidation type="list" allowBlank="1" showInputMessage="1" showErrorMessage="1" xr:uid="{BC5C8EF2-7B8F-4D1C-A925-CBBED085CE8A}">
          <x14:formula1>
            <xm:f>'Trapéz adatok'!$D$2:$D$7</xm:f>
          </x14:formula1>
          <xm:sqref>F5</xm:sqref>
        </x14:dataValidation>
        <x14:dataValidation type="list" allowBlank="1" showInputMessage="1" showErrorMessage="1" xr:uid="{2B3B8DB6-E078-42BF-8158-DCE161B31B3C}">
          <x14:formula1>
            <xm:f>'Trapéz adatok'!$F$2:$F$14</xm:f>
          </x14:formula1>
          <xm:sqref>D5:E5</xm:sqref>
        </x14:dataValidation>
        <x14:dataValidation type="list" allowBlank="1" showInputMessage="1" showErrorMessage="1" xr:uid="{ABEA00ED-D1D8-4BE8-A912-50B6D49F8A26}">
          <x14:formula1>
            <xm:f>'Trapéz adatok'!$A$2:$A$17</xm:f>
          </x14:formula1>
          <xm:sqref>A5:B5</xm:sqref>
        </x14:dataValidation>
        <x14:dataValidation type="list" allowBlank="1" showInputMessage="1" showErrorMessage="1" xr:uid="{691F2C94-3A60-4A8D-9166-ADDBF4E4D74A}">
          <x14:formula1>
            <xm:f>'Trapéz adatok'!$J$2:$J$34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B721-322E-4FE4-BBB5-811C4FA4213E}">
  <sheetPr>
    <tabColor theme="7" tint="0.59999389629810485"/>
  </sheetPr>
  <dimension ref="A1:J104"/>
  <sheetViews>
    <sheetView view="pageLayout" zoomScaleNormal="100" workbookViewId="0">
      <selection activeCell="C5" sqref="C5"/>
    </sheetView>
  </sheetViews>
  <sheetFormatPr defaultRowHeight="15.75" x14ac:dyDescent="0.25"/>
  <cols>
    <col min="1" max="1" width="3" bestFit="1" customWidth="1"/>
    <col min="2" max="2" width="12" bestFit="1" customWidth="1"/>
    <col min="3" max="3" width="9.25" customWidth="1"/>
    <col min="4" max="4" width="8" customWidth="1"/>
    <col min="7" max="8" width="10.5" customWidth="1"/>
  </cols>
  <sheetData>
    <row r="1" spans="1:10" ht="19.5" customHeight="1" x14ac:dyDescent="0.25">
      <c r="A1" s="108" t="s">
        <v>52</v>
      </c>
      <c r="B1" s="108"/>
      <c r="C1" s="37"/>
      <c r="D1" s="37"/>
      <c r="E1" s="38"/>
      <c r="F1" s="108" t="s">
        <v>0</v>
      </c>
      <c r="G1" s="108"/>
      <c r="H1" s="40"/>
      <c r="I1" s="40"/>
      <c r="J1" s="40"/>
    </row>
    <row r="2" spans="1:10" ht="17.25" customHeight="1" x14ac:dyDescent="0.25">
      <c r="A2" s="109"/>
      <c r="B2" s="109"/>
      <c r="C2" s="70"/>
      <c r="D2" s="81"/>
      <c r="E2" s="82"/>
      <c r="F2" s="108" t="s">
        <v>1</v>
      </c>
      <c r="G2" s="108"/>
      <c r="H2" s="42"/>
      <c r="I2" s="42"/>
      <c r="J2" s="40"/>
    </row>
    <row r="3" spans="1:10" ht="19.5" customHeight="1" x14ac:dyDescent="0.3">
      <c r="A3" s="110" t="s">
        <v>53</v>
      </c>
      <c r="B3" s="110"/>
      <c r="C3" s="205"/>
      <c r="D3" s="205"/>
      <c r="E3" s="206"/>
      <c r="F3" s="109" t="s">
        <v>2</v>
      </c>
      <c r="G3" s="109"/>
      <c r="H3" s="44"/>
      <c r="I3" s="44"/>
      <c r="J3" s="44"/>
    </row>
    <row r="4" spans="1:10" x14ac:dyDescent="0.25">
      <c r="A4" s="193" t="s">
        <v>36</v>
      </c>
      <c r="B4" s="193"/>
      <c r="C4" s="78" t="s">
        <v>82</v>
      </c>
      <c r="D4" s="193" t="s">
        <v>6</v>
      </c>
      <c r="E4" s="193"/>
      <c r="F4" s="79" t="s">
        <v>81</v>
      </c>
      <c r="G4" s="80" t="s">
        <v>37</v>
      </c>
      <c r="H4" s="165" t="s">
        <v>7</v>
      </c>
      <c r="I4" s="165"/>
      <c r="J4" s="45" t="s">
        <v>3</v>
      </c>
    </row>
    <row r="5" spans="1:10" ht="30.75" customHeight="1" x14ac:dyDescent="0.25">
      <c r="A5" s="117" t="s">
        <v>169</v>
      </c>
      <c r="B5" s="117"/>
      <c r="C5" s="74"/>
      <c r="D5" s="118"/>
      <c r="E5" s="119"/>
      <c r="F5" s="46"/>
      <c r="G5" s="46"/>
      <c r="H5" s="126"/>
      <c r="I5" s="127"/>
      <c r="J5" s="48"/>
    </row>
    <row r="6" spans="1:10" ht="25.5" x14ac:dyDescent="0.25">
      <c r="A6" s="50"/>
      <c r="B6" s="68" t="s">
        <v>9</v>
      </c>
      <c r="C6" s="68" t="s">
        <v>10</v>
      </c>
      <c r="D6" s="68" t="s">
        <v>11</v>
      </c>
      <c r="E6" s="68" t="s">
        <v>12</v>
      </c>
      <c r="F6" s="68" t="s">
        <v>13</v>
      </c>
      <c r="G6" s="68" t="s">
        <v>14</v>
      </c>
      <c r="H6" s="68" t="s">
        <v>15</v>
      </c>
      <c r="I6" s="37"/>
      <c r="J6" s="49" t="s">
        <v>4</v>
      </c>
    </row>
    <row r="7" spans="1:10" x14ac:dyDescent="0.25">
      <c r="A7" s="50" t="s">
        <v>16</v>
      </c>
      <c r="B7" s="62">
        <f>VLOOKUP(A5,'Trapéz adatok'!A2:B17,2,FALSE)</f>
        <v>0</v>
      </c>
      <c r="C7" s="62"/>
      <c r="D7" s="28"/>
      <c r="E7" s="63">
        <f>B7*C7*D7</f>
        <v>0</v>
      </c>
      <c r="F7" s="64">
        <f>$H$5</f>
        <v>0</v>
      </c>
      <c r="G7" s="64">
        <f>E7*F7</f>
        <v>0</v>
      </c>
      <c r="H7" s="64">
        <f>G7*1.27</f>
        <v>0</v>
      </c>
      <c r="I7" s="37"/>
      <c r="J7" s="51" t="s">
        <v>5</v>
      </c>
    </row>
    <row r="8" spans="1:10" x14ac:dyDescent="0.25">
      <c r="A8" s="50" t="s">
        <v>17</v>
      </c>
      <c r="B8" s="62">
        <f>VLOOKUP(A5,'Trapéz adatok'!A2:B17,2,FALSE)</f>
        <v>0</v>
      </c>
      <c r="C8" s="62"/>
      <c r="D8" s="28"/>
      <c r="E8" s="63">
        <f t="shared" ref="E8:E26" si="0">B8*C8*D8</f>
        <v>0</v>
      </c>
      <c r="F8" s="64">
        <f t="shared" ref="F8:F27" si="1">$H$5</f>
        <v>0</v>
      </c>
      <c r="G8" s="64">
        <f t="shared" ref="G8:G27" si="2">E8*F8</f>
        <v>0</v>
      </c>
      <c r="H8" s="64">
        <f t="shared" ref="H8:H27" si="3">G8*1.27</f>
        <v>0</v>
      </c>
      <c r="I8" s="37"/>
      <c r="J8" s="106"/>
    </row>
    <row r="9" spans="1:10" x14ac:dyDescent="0.25">
      <c r="A9" s="50" t="s">
        <v>18</v>
      </c>
      <c r="B9" s="62">
        <f>VLOOKUP(A5,'Trapéz adatok'!A2:B17,2,FALSE)</f>
        <v>0</v>
      </c>
      <c r="C9" s="62"/>
      <c r="D9" s="28"/>
      <c r="E9" s="63">
        <f t="shared" si="0"/>
        <v>0</v>
      </c>
      <c r="F9" s="64">
        <f t="shared" si="1"/>
        <v>0</v>
      </c>
      <c r="G9" s="64">
        <f t="shared" si="2"/>
        <v>0</v>
      </c>
      <c r="H9" s="64">
        <f t="shared" si="3"/>
        <v>0</v>
      </c>
      <c r="I9" s="37"/>
      <c r="J9" s="107"/>
    </row>
    <row r="10" spans="1:10" x14ac:dyDescent="0.25">
      <c r="A10" s="50" t="s">
        <v>19</v>
      </c>
      <c r="B10" s="62">
        <f>VLOOKUP(A5,'Trapéz adatok'!A2:B17,2,FALSE)</f>
        <v>0</v>
      </c>
      <c r="C10" s="62"/>
      <c r="D10" s="28"/>
      <c r="E10" s="63">
        <f t="shared" si="0"/>
        <v>0</v>
      </c>
      <c r="F10" s="64">
        <f t="shared" si="1"/>
        <v>0</v>
      </c>
      <c r="G10" s="64">
        <f t="shared" si="2"/>
        <v>0</v>
      </c>
      <c r="H10" s="64">
        <f t="shared" si="3"/>
        <v>0</v>
      </c>
      <c r="I10" s="37"/>
      <c r="J10" s="38"/>
    </row>
    <row r="11" spans="1:10" x14ac:dyDescent="0.25">
      <c r="A11" s="50" t="s">
        <v>20</v>
      </c>
      <c r="B11" s="62">
        <f>VLOOKUP(A5,'Trapéz adatok'!A2:B17,2,FALSE)</f>
        <v>0</v>
      </c>
      <c r="C11" s="62"/>
      <c r="D11" s="28"/>
      <c r="E11" s="63">
        <f t="shared" si="0"/>
        <v>0</v>
      </c>
      <c r="F11" s="64">
        <f t="shared" si="1"/>
        <v>0</v>
      </c>
      <c r="G11" s="64">
        <f t="shared" si="2"/>
        <v>0</v>
      </c>
      <c r="H11" s="64">
        <f t="shared" si="3"/>
        <v>0</v>
      </c>
      <c r="I11" s="37"/>
      <c r="J11" s="38"/>
    </row>
    <row r="12" spans="1:10" x14ac:dyDescent="0.25">
      <c r="A12" s="50" t="s">
        <v>21</v>
      </c>
      <c r="B12" s="62">
        <f>VLOOKUP(A5,'Trapéz adatok'!A2:B17,2,FALSE)</f>
        <v>0</v>
      </c>
      <c r="C12" s="62"/>
      <c r="D12" s="28"/>
      <c r="E12" s="63">
        <f t="shared" si="0"/>
        <v>0</v>
      </c>
      <c r="F12" s="64">
        <f t="shared" si="1"/>
        <v>0</v>
      </c>
      <c r="G12" s="64">
        <f t="shared" si="2"/>
        <v>0</v>
      </c>
      <c r="H12" s="64">
        <f t="shared" si="3"/>
        <v>0</v>
      </c>
      <c r="I12" s="207"/>
      <c r="J12" s="208"/>
    </row>
    <row r="13" spans="1:10" x14ac:dyDescent="0.25">
      <c r="A13" s="50" t="s">
        <v>22</v>
      </c>
      <c r="B13" s="62">
        <f>VLOOKUP(A5,'Trapéz adatok'!A2:B17,2,FALSE)</f>
        <v>0</v>
      </c>
      <c r="C13" s="62"/>
      <c r="D13" s="28"/>
      <c r="E13" s="63">
        <f t="shared" si="0"/>
        <v>0</v>
      </c>
      <c r="F13" s="64">
        <f t="shared" si="1"/>
        <v>0</v>
      </c>
      <c r="G13" s="64">
        <f t="shared" si="2"/>
        <v>0</v>
      </c>
      <c r="H13" s="64">
        <f t="shared" si="3"/>
        <v>0</v>
      </c>
      <c r="I13" s="37"/>
      <c r="J13" s="38"/>
    </row>
    <row r="14" spans="1:10" x14ac:dyDescent="0.25">
      <c r="A14" s="50" t="s">
        <v>23</v>
      </c>
      <c r="B14" s="62">
        <f>VLOOKUP(A5,'Trapéz adatok'!A2:B17,2,FALSE)</f>
        <v>0</v>
      </c>
      <c r="C14" s="62"/>
      <c r="D14" s="28"/>
      <c r="E14" s="63">
        <f t="shared" si="0"/>
        <v>0</v>
      </c>
      <c r="F14" s="64">
        <f t="shared" si="1"/>
        <v>0</v>
      </c>
      <c r="G14" s="64">
        <f t="shared" si="2"/>
        <v>0</v>
      </c>
      <c r="H14" s="64">
        <f t="shared" si="3"/>
        <v>0</v>
      </c>
      <c r="I14" s="37"/>
      <c r="J14" s="38"/>
    </row>
    <row r="15" spans="1:10" x14ac:dyDescent="0.25">
      <c r="A15" s="50" t="s">
        <v>24</v>
      </c>
      <c r="B15" s="62">
        <f>VLOOKUP(A5,'Trapéz adatok'!A2:B17,2,FALSE)</f>
        <v>0</v>
      </c>
      <c r="C15" s="62"/>
      <c r="D15" s="28"/>
      <c r="E15" s="63">
        <f t="shared" si="0"/>
        <v>0</v>
      </c>
      <c r="F15" s="64">
        <f t="shared" si="1"/>
        <v>0</v>
      </c>
      <c r="G15" s="64">
        <f t="shared" si="2"/>
        <v>0</v>
      </c>
      <c r="H15" s="64">
        <f t="shared" si="3"/>
        <v>0</v>
      </c>
      <c r="I15" s="37"/>
      <c r="J15" s="38"/>
    </row>
    <row r="16" spans="1:10" x14ac:dyDescent="0.25">
      <c r="A16" s="50" t="s">
        <v>25</v>
      </c>
      <c r="B16" s="62">
        <f>VLOOKUP(A5,'Trapéz adatok'!A2:B17,2,FALSE)</f>
        <v>0</v>
      </c>
      <c r="C16" s="62"/>
      <c r="D16" s="28"/>
      <c r="E16" s="63">
        <f t="shared" si="0"/>
        <v>0</v>
      </c>
      <c r="F16" s="64">
        <f t="shared" si="1"/>
        <v>0</v>
      </c>
      <c r="G16" s="64">
        <f t="shared" si="2"/>
        <v>0</v>
      </c>
      <c r="H16" s="64">
        <f t="shared" si="3"/>
        <v>0</v>
      </c>
      <c r="I16" s="37"/>
      <c r="J16" s="38"/>
    </row>
    <row r="17" spans="1:10" x14ac:dyDescent="0.25">
      <c r="A17" s="50" t="s">
        <v>26</v>
      </c>
      <c r="B17" s="62">
        <f>VLOOKUP(A5,'Trapéz adatok'!A2:B17,2,FALSE)</f>
        <v>0</v>
      </c>
      <c r="C17" s="62"/>
      <c r="D17" s="28"/>
      <c r="E17" s="63">
        <f t="shared" si="0"/>
        <v>0</v>
      </c>
      <c r="F17" s="64">
        <f t="shared" si="1"/>
        <v>0</v>
      </c>
      <c r="G17" s="64">
        <f t="shared" si="2"/>
        <v>0</v>
      </c>
      <c r="H17" s="64">
        <f t="shared" si="3"/>
        <v>0</v>
      </c>
      <c r="I17" s="37"/>
      <c r="J17" s="38"/>
    </row>
    <row r="18" spans="1:10" x14ac:dyDescent="0.25">
      <c r="A18" s="50" t="s">
        <v>27</v>
      </c>
      <c r="B18" s="62">
        <f>VLOOKUP(A5,'Trapéz adatok'!A2:B17,2,FALSE)</f>
        <v>0</v>
      </c>
      <c r="C18" s="62"/>
      <c r="D18" s="28"/>
      <c r="E18" s="63">
        <f t="shared" si="0"/>
        <v>0</v>
      </c>
      <c r="F18" s="64">
        <f t="shared" si="1"/>
        <v>0</v>
      </c>
      <c r="G18" s="64">
        <f t="shared" si="2"/>
        <v>0</v>
      </c>
      <c r="H18" s="64">
        <f t="shared" si="3"/>
        <v>0</v>
      </c>
      <c r="I18" s="37"/>
      <c r="J18" s="38"/>
    </row>
    <row r="19" spans="1:10" x14ac:dyDescent="0.25">
      <c r="A19" s="50" t="s">
        <v>28</v>
      </c>
      <c r="B19" s="62">
        <f>VLOOKUP(A5,'Trapéz adatok'!A2:B17,2,FALSE)</f>
        <v>0</v>
      </c>
      <c r="C19" s="62"/>
      <c r="D19" s="28"/>
      <c r="E19" s="63">
        <f t="shared" si="0"/>
        <v>0</v>
      </c>
      <c r="F19" s="64">
        <f t="shared" si="1"/>
        <v>0</v>
      </c>
      <c r="G19" s="64">
        <f t="shared" si="2"/>
        <v>0</v>
      </c>
      <c r="H19" s="64">
        <f t="shared" si="3"/>
        <v>0</v>
      </c>
      <c r="I19" s="37"/>
      <c r="J19" s="38"/>
    </row>
    <row r="20" spans="1:10" x14ac:dyDescent="0.25">
      <c r="A20" s="50" t="s">
        <v>29</v>
      </c>
      <c r="B20" s="62">
        <f>VLOOKUP(A5,'Trapéz adatok'!A2:B17,2,FALSE)</f>
        <v>0</v>
      </c>
      <c r="C20" s="62"/>
      <c r="D20" s="28"/>
      <c r="E20" s="63">
        <f t="shared" si="0"/>
        <v>0</v>
      </c>
      <c r="F20" s="64">
        <f t="shared" si="1"/>
        <v>0</v>
      </c>
      <c r="G20" s="64">
        <f t="shared" si="2"/>
        <v>0</v>
      </c>
      <c r="H20" s="64">
        <f t="shared" si="3"/>
        <v>0</v>
      </c>
      <c r="I20" s="37"/>
      <c r="J20" s="38"/>
    </row>
    <row r="21" spans="1:10" x14ac:dyDescent="0.25">
      <c r="A21" s="50" t="s">
        <v>30</v>
      </c>
      <c r="B21" s="62">
        <f>VLOOKUP(A5,'Trapéz adatok'!A2:B17,2,FALSE)</f>
        <v>0</v>
      </c>
      <c r="C21" s="62"/>
      <c r="D21" s="28"/>
      <c r="E21" s="63">
        <f t="shared" si="0"/>
        <v>0</v>
      </c>
      <c r="F21" s="64">
        <f t="shared" si="1"/>
        <v>0</v>
      </c>
      <c r="G21" s="64">
        <f t="shared" si="2"/>
        <v>0</v>
      </c>
      <c r="H21" s="64">
        <f t="shared" si="3"/>
        <v>0</v>
      </c>
      <c r="I21" s="37"/>
      <c r="J21" s="38"/>
    </row>
    <row r="22" spans="1:10" x14ac:dyDescent="0.25">
      <c r="A22" s="50" t="s">
        <v>31</v>
      </c>
      <c r="B22" s="62">
        <f>VLOOKUP(A5,'Trapéz adatok'!A2:B17,2,FALSE)</f>
        <v>0</v>
      </c>
      <c r="C22" s="62"/>
      <c r="D22" s="28"/>
      <c r="E22" s="63">
        <f t="shared" si="0"/>
        <v>0</v>
      </c>
      <c r="F22" s="64">
        <f t="shared" si="1"/>
        <v>0</v>
      </c>
      <c r="G22" s="64">
        <f t="shared" si="2"/>
        <v>0</v>
      </c>
      <c r="H22" s="64">
        <f t="shared" si="3"/>
        <v>0</v>
      </c>
      <c r="I22" s="37"/>
      <c r="J22" s="38"/>
    </row>
    <row r="23" spans="1:10" x14ac:dyDescent="0.25">
      <c r="A23" s="50" t="s">
        <v>32</v>
      </c>
      <c r="B23" s="62">
        <f>VLOOKUP(A5,'Trapéz adatok'!A2:B17,2,FALSE)</f>
        <v>0</v>
      </c>
      <c r="C23" s="62"/>
      <c r="D23" s="28"/>
      <c r="E23" s="63">
        <f t="shared" si="0"/>
        <v>0</v>
      </c>
      <c r="F23" s="64">
        <f t="shared" si="1"/>
        <v>0</v>
      </c>
      <c r="G23" s="64">
        <f t="shared" si="2"/>
        <v>0</v>
      </c>
      <c r="H23" s="64">
        <f t="shared" si="3"/>
        <v>0</v>
      </c>
      <c r="I23" s="37"/>
      <c r="J23" s="38"/>
    </row>
    <row r="24" spans="1:10" x14ac:dyDescent="0.25">
      <c r="A24" s="50" t="s">
        <v>33</v>
      </c>
      <c r="B24" s="62">
        <f>VLOOKUP(A5,'Trapéz adatok'!A2:B17,2,FALSE)</f>
        <v>0</v>
      </c>
      <c r="C24" s="62"/>
      <c r="D24" s="28"/>
      <c r="E24" s="63">
        <f t="shared" si="0"/>
        <v>0</v>
      </c>
      <c r="F24" s="64">
        <f t="shared" si="1"/>
        <v>0</v>
      </c>
      <c r="G24" s="64">
        <f t="shared" si="2"/>
        <v>0</v>
      </c>
      <c r="H24" s="64">
        <f t="shared" si="3"/>
        <v>0</v>
      </c>
      <c r="I24" s="37"/>
      <c r="J24" s="38"/>
    </row>
    <row r="25" spans="1:10" x14ac:dyDescent="0.25">
      <c r="A25" s="50" t="s">
        <v>34</v>
      </c>
      <c r="B25" s="62">
        <f>VLOOKUP(A5,'Trapéz adatok'!A2:B17,2,FALSE)</f>
        <v>0</v>
      </c>
      <c r="C25" s="62"/>
      <c r="D25" s="28"/>
      <c r="E25" s="63">
        <f t="shared" si="0"/>
        <v>0</v>
      </c>
      <c r="F25" s="64">
        <f t="shared" si="1"/>
        <v>0</v>
      </c>
      <c r="G25" s="64">
        <f t="shared" si="2"/>
        <v>0</v>
      </c>
      <c r="H25" s="64">
        <f t="shared" si="3"/>
        <v>0</v>
      </c>
      <c r="I25" s="37"/>
      <c r="J25" s="38"/>
    </row>
    <row r="26" spans="1:10" x14ac:dyDescent="0.25">
      <c r="A26" s="50" t="s">
        <v>35</v>
      </c>
      <c r="B26" s="62">
        <f>VLOOKUP(A5,'Trapéz adatok'!A2:B17,2,FALSE)</f>
        <v>0</v>
      </c>
      <c r="C26" s="62"/>
      <c r="D26" s="28"/>
      <c r="E26" s="63">
        <f t="shared" si="0"/>
        <v>0</v>
      </c>
      <c r="F26" s="64">
        <f t="shared" si="1"/>
        <v>0</v>
      </c>
      <c r="G26" s="64">
        <f t="shared" si="2"/>
        <v>0</v>
      </c>
      <c r="H26" s="64">
        <f t="shared" si="3"/>
        <v>0</v>
      </c>
      <c r="I26" s="37"/>
      <c r="J26" s="38"/>
    </row>
    <row r="27" spans="1:10" x14ac:dyDescent="0.25">
      <c r="A27" s="65"/>
      <c r="B27" s="149" t="s">
        <v>38</v>
      </c>
      <c r="C27" s="149"/>
      <c r="D27" s="149"/>
      <c r="E27" s="61">
        <f>SUM(E7:E26)</f>
        <v>0</v>
      </c>
      <c r="F27" s="55">
        <f t="shared" si="1"/>
        <v>0</v>
      </c>
      <c r="G27" s="55">
        <f t="shared" si="2"/>
        <v>0</v>
      </c>
      <c r="H27" s="55">
        <f t="shared" si="3"/>
        <v>0</v>
      </c>
      <c r="I27" s="37"/>
      <c r="J27" s="38"/>
    </row>
    <row r="28" spans="1:10" x14ac:dyDescent="0.25">
      <c r="A28" s="52"/>
      <c r="B28" s="128" t="s">
        <v>39</v>
      </c>
      <c r="C28" s="129"/>
      <c r="D28" s="129"/>
      <c r="E28" s="129"/>
      <c r="F28" s="129"/>
      <c r="G28" s="129"/>
      <c r="H28" s="129"/>
      <c r="I28" s="130"/>
      <c r="J28" s="38"/>
    </row>
    <row r="29" spans="1:10" x14ac:dyDescent="0.25">
      <c r="A29" s="52"/>
      <c r="B29" s="54" t="s">
        <v>40</v>
      </c>
      <c r="C29" s="53" t="s">
        <v>41</v>
      </c>
      <c r="D29" s="191" t="s">
        <v>13</v>
      </c>
      <c r="E29" s="191"/>
      <c r="F29" s="191" t="s">
        <v>14</v>
      </c>
      <c r="G29" s="191"/>
      <c r="H29" s="191" t="s">
        <v>15</v>
      </c>
      <c r="I29" s="191"/>
      <c r="J29" s="38"/>
    </row>
    <row r="30" spans="1:10" x14ac:dyDescent="0.25">
      <c r="A30" s="52"/>
      <c r="B30" s="17" t="s">
        <v>43</v>
      </c>
      <c r="C30" s="27"/>
      <c r="D30" s="176">
        <v>19</v>
      </c>
      <c r="E30" s="177"/>
      <c r="F30" s="176">
        <f>C30*D30</f>
        <v>0</v>
      </c>
      <c r="G30" s="177"/>
      <c r="H30" s="176">
        <f>F30*1.27</f>
        <v>0</v>
      </c>
      <c r="I30" s="177"/>
      <c r="J30" s="38"/>
    </row>
    <row r="31" spans="1:10" x14ac:dyDescent="0.25">
      <c r="A31" s="52"/>
      <c r="B31" s="17" t="s">
        <v>44</v>
      </c>
      <c r="C31" s="27"/>
      <c r="D31" s="176">
        <v>19</v>
      </c>
      <c r="E31" s="177"/>
      <c r="F31" s="176">
        <f t="shared" ref="F31:F35" si="4">C31*D31</f>
        <v>0</v>
      </c>
      <c r="G31" s="177"/>
      <c r="H31" s="176">
        <f t="shared" ref="H31:H36" si="5">F31*1.27</f>
        <v>0</v>
      </c>
      <c r="I31" s="177"/>
      <c r="J31" s="38"/>
    </row>
    <row r="32" spans="1:10" x14ac:dyDescent="0.25">
      <c r="A32" s="52"/>
      <c r="B32" s="17" t="s">
        <v>138</v>
      </c>
      <c r="C32" s="27"/>
      <c r="D32" s="176">
        <v>15</v>
      </c>
      <c r="E32" s="177"/>
      <c r="F32" s="176">
        <f t="shared" si="4"/>
        <v>0</v>
      </c>
      <c r="G32" s="177"/>
      <c r="H32" s="176">
        <f t="shared" si="5"/>
        <v>0</v>
      </c>
      <c r="I32" s="177"/>
      <c r="J32" s="38"/>
    </row>
    <row r="33" spans="1:10" x14ac:dyDescent="0.25">
      <c r="A33" s="52"/>
      <c r="B33" s="17" t="s">
        <v>117</v>
      </c>
      <c r="C33" s="27"/>
      <c r="D33" s="176">
        <v>15</v>
      </c>
      <c r="E33" s="177"/>
      <c r="F33" s="176">
        <f t="shared" si="4"/>
        <v>0</v>
      </c>
      <c r="G33" s="177"/>
      <c r="H33" s="176">
        <f t="shared" si="5"/>
        <v>0</v>
      </c>
      <c r="I33" s="177"/>
      <c r="J33" s="38"/>
    </row>
    <row r="34" spans="1:10" x14ac:dyDescent="0.25">
      <c r="A34" s="52"/>
      <c r="B34" s="17" t="s">
        <v>118</v>
      </c>
      <c r="C34" s="29"/>
      <c r="D34" s="176">
        <v>900</v>
      </c>
      <c r="E34" s="177"/>
      <c r="F34" s="176">
        <f t="shared" si="4"/>
        <v>0</v>
      </c>
      <c r="G34" s="177"/>
      <c r="H34" s="176">
        <f t="shared" si="5"/>
        <v>0</v>
      </c>
      <c r="I34" s="177"/>
      <c r="J34" s="38"/>
    </row>
    <row r="35" spans="1:10" x14ac:dyDescent="0.25">
      <c r="A35" s="52"/>
      <c r="B35" s="17" t="s">
        <v>116</v>
      </c>
      <c r="C35" s="27"/>
      <c r="D35" s="176">
        <v>30000</v>
      </c>
      <c r="E35" s="177"/>
      <c r="F35" s="176">
        <f t="shared" si="4"/>
        <v>0</v>
      </c>
      <c r="G35" s="177"/>
      <c r="H35" s="176">
        <f t="shared" si="5"/>
        <v>0</v>
      </c>
      <c r="I35" s="177"/>
      <c r="J35" s="38"/>
    </row>
    <row r="36" spans="1:10" x14ac:dyDescent="0.25">
      <c r="A36" s="52"/>
      <c r="B36" s="162" t="s">
        <v>38</v>
      </c>
      <c r="C36" s="163"/>
      <c r="D36" s="163"/>
      <c r="E36" s="155"/>
      <c r="F36" s="153">
        <f>SUM(F30:F35)</f>
        <v>0</v>
      </c>
      <c r="G36" s="154"/>
      <c r="H36" s="153">
        <f t="shared" si="5"/>
        <v>0</v>
      </c>
      <c r="I36" s="154"/>
      <c r="J36" s="38"/>
    </row>
    <row r="37" spans="1:10" x14ac:dyDescent="0.25">
      <c r="A37" s="52"/>
      <c r="B37" s="37"/>
      <c r="C37" s="37"/>
      <c r="D37" s="37"/>
      <c r="E37" s="37"/>
      <c r="F37" s="37"/>
      <c r="G37" s="37"/>
      <c r="H37" s="37"/>
      <c r="I37" s="37"/>
      <c r="J37" s="38"/>
    </row>
    <row r="38" spans="1:10" x14ac:dyDescent="0.25">
      <c r="A38" s="52"/>
      <c r="B38" s="164" t="s">
        <v>55</v>
      </c>
      <c r="C38" s="164"/>
      <c r="D38" s="150">
        <f>F36+G27</f>
        <v>0</v>
      </c>
      <c r="E38" s="151"/>
      <c r="F38" s="165" t="s">
        <v>57</v>
      </c>
      <c r="G38" s="165"/>
      <c r="H38" s="150">
        <f>D38*1.27</f>
        <v>0</v>
      </c>
      <c r="I38" s="151"/>
      <c r="J38" s="38"/>
    </row>
    <row r="39" spans="1:10" x14ac:dyDescent="0.25">
      <c r="A39" s="52"/>
      <c r="B39" s="152" t="s">
        <v>56</v>
      </c>
      <c r="C39" s="152"/>
      <c r="D39" s="151"/>
      <c r="E39" s="151"/>
      <c r="F39" s="165"/>
      <c r="G39" s="165"/>
      <c r="H39" s="151"/>
      <c r="I39" s="151"/>
      <c r="J39" s="38"/>
    </row>
    <row r="40" spans="1:10" ht="16.5" thickBot="1" x14ac:dyDescent="0.3">
      <c r="A40" s="52"/>
      <c r="B40" s="37"/>
      <c r="C40" s="37"/>
      <c r="D40" s="37"/>
      <c r="E40" s="37"/>
      <c r="F40" s="37"/>
      <c r="G40" s="37"/>
      <c r="H40" s="37"/>
      <c r="I40" s="37"/>
      <c r="J40" s="38"/>
    </row>
    <row r="41" spans="1:10" ht="15.75" customHeight="1" x14ac:dyDescent="0.25">
      <c r="A41" s="52"/>
      <c r="B41" s="131" t="s">
        <v>124</v>
      </c>
      <c r="C41" s="131"/>
      <c r="D41" s="156" t="s">
        <v>125</v>
      </c>
      <c r="E41" s="157"/>
      <c r="F41" s="158"/>
      <c r="G41" s="37"/>
      <c r="H41" s="37"/>
      <c r="I41" s="37"/>
      <c r="J41" s="38"/>
    </row>
    <row r="42" spans="1:10" ht="15.75" customHeight="1" thickBot="1" x14ac:dyDescent="0.3">
      <c r="A42" s="52"/>
      <c r="B42" s="132"/>
      <c r="C42" s="132"/>
      <c r="D42" s="159"/>
      <c r="E42" s="160"/>
      <c r="F42" s="161"/>
      <c r="G42" s="37"/>
      <c r="H42" s="37"/>
      <c r="I42" s="37"/>
      <c r="J42" s="38"/>
    </row>
    <row r="43" spans="1:10" x14ac:dyDescent="0.25">
      <c r="A43" s="143" t="s">
        <v>93</v>
      </c>
      <c r="B43" s="144"/>
      <c r="C43" s="144"/>
      <c r="D43" s="144"/>
      <c r="E43" s="144"/>
      <c r="F43" s="144"/>
      <c r="G43" s="144"/>
      <c r="H43" s="144"/>
      <c r="I43" s="144"/>
      <c r="J43" s="145"/>
    </row>
    <row r="44" spans="1:10" ht="17.25" customHeight="1" x14ac:dyDescent="0.25">
      <c r="A44" s="146"/>
      <c r="B44" s="147"/>
      <c r="C44" s="147"/>
      <c r="D44" s="147"/>
      <c r="E44" s="147"/>
      <c r="F44" s="147"/>
      <c r="G44" s="147"/>
      <c r="H44" s="147"/>
      <c r="I44" s="147"/>
      <c r="J44" s="148"/>
    </row>
    <row r="45" spans="1:10" ht="13.5" customHeight="1" x14ac:dyDescent="0.25">
      <c r="A45" s="133" t="s">
        <v>126</v>
      </c>
      <c r="B45" s="134"/>
      <c r="C45" s="134"/>
      <c r="D45" s="134"/>
      <c r="E45" s="135"/>
      <c r="F45" s="121" t="s">
        <v>59</v>
      </c>
      <c r="G45" s="121"/>
      <c r="H45" s="121"/>
      <c r="I45" s="121"/>
      <c r="J45" s="122"/>
    </row>
    <row r="46" spans="1:10" ht="15.75" customHeight="1" x14ac:dyDescent="0.25">
      <c r="A46" s="136"/>
      <c r="B46" s="137"/>
      <c r="C46" s="137"/>
      <c r="D46" s="137"/>
      <c r="E46" s="138"/>
      <c r="F46" s="124"/>
      <c r="G46" s="124"/>
      <c r="H46" s="124"/>
      <c r="I46" s="124"/>
      <c r="J46" s="125"/>
    </row>
    <row r="47" spans="1:10" ht="18.75" customHeight="1" x14ac:dyDescent="0.25">
      <c r="A47" s="120" t="s">
        <v>111</v>
      </c>
      <c r="B47" s="121"/>
      <c r="C47" s="121"/>
      <c r="D47" s="121"/>
      <c r="E47" s="121"/>
      <c r="F47" s="121"/>
      <c r="G47" s="121"/>
      <c r="H47" s="121"/>
      <c r="I47" s="121"/>
      <c r="J47" s="122"/>
    </row>
    <row r="48" spans="1:10" x14ac:dyDescent="0.25">
      <c r="A48" s="123"/>
      <c r="B48" s="124"/>
      <c r="C48" s="124"/>
      <c r="D48" s="124"/>
      <c r="E48" s="124"/>
      <c r="F48" s="124"/>
      <c r="G48" s="124"/>
      <c r="H48" s="124"/>
      <c r="I48" s="124"/>
      <c r="J48" s="125"/>
    </row>
    <row r="49" spans="1:10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</row>
    <row r="50" spans="1:10" x14ac:dyDescent="0.25">
      <c r="A50" s="105" t="s">
        <v>92</v>
      </c>
      <c r="B50" s="105"/>
      <c r="C50" s="105"/>
      <c r="D50" s="105"/>
      <c r="E50" s="105"/>
      <c r="F50" s="105"/>
      <c r="G50" s="105"/>
      <c r="H50" s="105"/>
      <c r="I50" s="105"/>
      <c r="J50" s="105"/>
    </row>
    <row r="51" spans="1:10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</row>
    <row r="52" spans="1:10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</row>
    <row r="53" spans="1:10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</row>
    <row r="54" spans="1:10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</row>
    <row r="55" spans="1:10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</row>
    <row r="56" spans="1:10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</row>
    <row r="57" spans="1:10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</row>
    <row r="58" spans="1:10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</row>
    <row r="59" spans="1:10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</row>
    <row r="60" spans="1:10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</row>
    <row r="61" spans="1:10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</row>
    <row r="62" spans="1:10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</row>
    <row r="63" spans="1:10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</row>
    <row r="64" spans="1:10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</row>
    <row r="65" spans="1:10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</row>
    <row r="66" spans="1:10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</row>
    <row r="67" spans="1:10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</row>
    <row r="68" spans="1:10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</row>
    <row r="69" spans="1:10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</row>
    <row r="70" spans="1:10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</row>
    <row r="71" spans="1:10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</row>
    <row r="72" spans="1:10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</row>
    <row r="73" spans="1:10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</row>
    <row r="74" spans="1:10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</row>
    <row r="75" spans="1:10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</row>
    <row r="76" spans="1:10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</row>
    <row r="77" spans="1:10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</row>
    <row r="78" spans="1:10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</row>
    <row r="79" spans="1:10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</row>
    <row r="80" spans="1:10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</row>
    <row r="81" spans="1:10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</row>
    <row r="82" spans="1:10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</row>
    <row r="83" spans="1:10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</row>
    <row r="84" spans="1:10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</row>
    <row r="85" spans="1:10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</row>
    <row r="86" spans="1:10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</row>
    <row r="87" spans="1:10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</row>
    <row r="88" spans="1:10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</row>
    <row r="89" spans="1:10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</row>
    <row r="90" spans="1:10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</row>
    <row r="91" spans="1:10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</row>
    <row r="92" spans="1:10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</row>
    <row r="93" spans="1:10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</row>
    <row r="94" spans="1:10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</row>
    <row r="95" spans="1:10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</row>
    <row r="96" spans="1:10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</row>
    <row r="97" spans="1:10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</row>
    <row r="98" spans="1:10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</row>
    <row r="99" spans="1:10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</row>
    <row r="100" spans="1:10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</row>
    <row r="101" spans="1:10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</row>
    <row r="102" spans="1:10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</row>
    <row r="103" spans="1:10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</row>
    <row r="104" spans="1:10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</row>
  </sheetData>
  <mergeCells count="52">
    <mergeCell ref="A1:B2"/>
    <mergeCell ref="F1:G1"/>
    <mergeCell ref="F2:G2"/>
    <mergeCell ref="A3:B3"/>
    <mergeCell ref="F3:G3"/>
    <mergeCell ref="C3:E3"/>
    <mergeCell ref="D30:E30"/>
    <mergeCell ref="F30:G30"/>
    <mergeCell ref="H30:I30"/>
    <mergeCell ref="H4:I4"/>
    <mergeCell ref="A5:B5"/>
    <mergeCell ref="H5:I5"/>
    <mergeCell ref="D29:E29"/>
    <mergeCell ref="F29:G29"/>
    <mergeCell ref="H29:I29"/>
    <mergeCell ref="D4:E4"/>
    <mergeCell ref="D5:E5"/>
    <mergeCell ref="B28:I28"/>
    <mergeCell ref="B27:D27"/>
    <mergeCell ref="I12:J12"/>
    <mergeCell ref="J8:J9"/>
    <mergeCell ref="A4:B4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B36:E36"/>
    <mergeCell ref="F36:G36"/>
    <mergeCell ref="H36:I36"/>
    <mergeCell ref="D35:E35"/>
    <mergeCell ref="F35:G35"/>
    <mergeCell ref="H35:I35"/>
    <mergeCell ref="A47:J48"/>
    <mergeCell ref="A45:E46"/>
    <mergeCell ref="F45:J46"/>
    <mergeCell ref="A50:J98"/>
    <mergeCell ref="B38:C38"/>
    <mergeCell ref="D38:E39"/>
    <mergeCell ref="F38:G39"/>
    <mergeCell ref="H38:I39"/>
    <mergeCell ref="B39:C39"/>
    <mergeCell ref="A43:J44"/>
    <mergeCell ref="B41:C42"/>
    <mergeCell ref="D41:F42"/>
  </mergeCells>
  <pageMargins left="0.25" right="0.25" top="0.75" bottom="0.75" header="0.3" footer="0.3"/>
  <pageSetup paperSize="9" fitToWidth="0" fitToHeight="0" orientation="portrait" r:id="rId1"/>
  <headerFooter>
    <oddHeader>&amp;L&amp;G&amp;C&amp;"Ubuntu,Félkövér"&amp;16&amp;KC00000AJÁNLATKÉRŐ LAP
&amp;10&amp;UAz ár érvényesség ideje 1 nap.&amp;R&amp;10Áraink &amp;"Ubuntu,Félkövér"nettó &amp;"Ubuntu,Normál"árak az 
&amp;"Ubuntu,Félkövér"ÁFÁ-t &amp;12nem&amp;"Ubuntu,Normál" &amp;10tartalmazzák</oddHeader>
    <oddFooter>&amp;Linfo@sl-lemezkereskedes.hu&amp;C&amp;10+36-30/203-07-19
+36-30/326-73-33
+36-30/203-09-19&amp;RNyitvatartás:
Hétfőtől - Péntekig 7:30 - 16:30
Szombat 7:30 - 12:30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3753B18-8B1B-4AF8-8524-A0FF9CE86786}">
          <x14:formula1>
            <xm:f>'Trapéz adatok'!$D$2:$D$7</xm:f>
          </x14:formula1>
          <xm:sqref>F5</xm:sqref>
        </x14:dataValidation>
        <x14:dataValidation type="list" allowBlank="1" showInputMessage="1" showErrorMessage="1" xr:uid="{2B9198B3-2C18-42AB-8BD2-97D05337521E}">
          <x14:formula1>
            <xm:f>'Cserepes adatok'!$H$2:$H$3</xm:f>
          </x14:formula1>
          <xm:sqref>G5</xm:sqref>
        </x14:dataValidation>
        <x14:dataValidation type="list" allowBlank="1" showInputMessage="1" showErrorMessage="1" xr:uid="{DE66948E-0643-4ED2-9E6D-A5385C7CB41B}">
          <x14:formula1>
            <xm:f>'Trapéz adatok'!$F$2:$F$14</xm:f>
          </x14:formula1>
          <xm:sqref>D5:E5</xm:sqref>
        </x14:dataValidation>
        <x14:dataValidation type="list" allowBlank="1" showInputMessage="1" showErrorMessage="1" xr:uid="{4F44C60D-FFC0-454C-88A1-B50D7255CC42}">
          <x14:formula1>
            <xm:f>'Trapéz adatok'!$A$2:$A$17</xm:f>
          </x14:formula1>
          <xm:sqref>A5:B5</xm:sqref>
        </x14:dataValidation>
        <x14:dataValidation type="list" allowBlank="1" showInputMessage="1" showErrorMessage="1" xr:uid="{A6EC03C0-A7C9-447F-9942-519D4403A79A}">
          <x14:formula1>
            <xm:f>'Trapéz adatok'!$J$2:$J$34</xm:f>
          </x14:formula1>
          <xm:sqref>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72BE-86BE-4A9A-9A7C-865CE70FE255}">
  <sheetPr>
    <tabColor theme="7" tint="0.59999389629810485"/>
  </sheetPr>
  <dimension ref="A1:J102"/>
  <sheetViews>
    <sheetView view="pageLayout" zoomScaleNormal="100" workbookViewId="0">
      <selection activeCell="B7" sqref="B7:B14"/>
    </sheetView>
  </sheetViews>
  <sheetFormatPr defaultRowHeight="15.75" x14ac:dyDescent="0.25"/>
  <cols>
    <col min="1" max="1" width="3" bestFit="1" customWidth="1"/>
    <col min="2" max="2" width="12" bestFit="1" customWidth="1"/>
    <col min="3" max="3" width="9.25" customWidth="1"/>
    <col min="4" max="4" width="6.25" customWidth="1"/>
    <col min="7" max="8" width="10.5" customWidth="1"/>
  </cols>
  <sheetData>
    <row r="1" spans="1:10" ht="19.5" customHeight="1" x14ac:dyDescent="0.25">
      <c r="A1" s="108" t="s">
        <v>52</v>
      </c>
      <c r="B1" s="108"/>
      <c r="C1" s="37"/>
      <c r="D1" s="37"/>
      <c r="E1" s="38"/>
      <c r="F1" s="108" t="s">
        <v>0</v>
      </c>
      <c r="G1" s="108"/>
      <c r="H1" s="40"/>
      <c r="I1" s="40"/>
      <c r="J1" s="40"/>
    </row>
    <row r="2" spans="1:10" ht="17.25" customHeight="1" x14ac:dyDescent="0.25">
      <c r="A2" s="109"/>
      <c r="B2" s="109"/>
      <c r="C2" s="69"/>
      <c r="D2" s="70"/>
      <c r="E2" s="71"/>
      <c r="F2" s="108" t="s">
        <v>1</v>
      </c>
      <c r="G2" s="108"/>
      <c r="H2" s="42"/>
      <c r="I2" s="42"/>
      <c r="J2" s="40"/>
    </row>
    <row r="3" spans="1:10" ht="19.5" customHeight="1" x14ac:dyDescent="0.25">
      <c r="A3" s="110" t="s">
        <v>53</v>
      </c>
      <c r="B3" s="110"/>
      <c r="C3" s="218"/>
      <c r="D3" s="218"/>
      <c r="E3" s="219"/>
      <c r="F3" s="109" t="s">
        <v>2</v>
      </c>
      <c r="G3" s="109"/>
      <c r="H3" s="72"/>
      <c r="I3" s="44"/>
      <c r="J3" s="44"/>
    </row>
    <row r="4" spans="1:10" x14ac:dyDescent="0.25">
      <c r="A4" s="111" t="s">
        <v>36</v>
      </c>
      <c r="B4" s="111"/>
      <c r="C4" s="75" t="s">
        <v>82</v>
      </c>
      <c r="D4" s="111" t="s">
        <v>6</v>
      </c>
      <c r="E4" s="111"/>
      <c r="F4" s="76" t="s">
        <v>81</v>
      </c>
      <c r="G4" s="77" t="s">
        <v>37</v>
      </c>
      <c r="H4" s="116" t="s">
        <v>7</v>
      </c>
      <c r="I4" s="116"/>
      <c r="J4" s="45" t="s">
        <v>3</v>
      </c>
    </row>
    <row r="5" spans="1:10" ht="30.75" customHeight="1" x14ac:dyDescent="0.25">
      <c r="A5" s="117" t="s">
        <v>156</v>
      </c>
      <c r="B5" s="117"/>
      <c r="C5" s="74"/>
      <c r="D5" s="118"/>
      <c r="E5" s="119"/>
      <c r="F5" s="46"/>
      <c r="G5" s="46"/>
      <c r="H5" s="126"/>
      <c r="I5" s="127"/>
      <c r="J5" s="48"/>
    </row>
    <row r="6" spans="1:10" ht="25.5" x14ac:dyDescent="0.25">
      <c r="A6" s="50"/>
      <c r="B6" s="68" t="s">
        <v>9</v>
      </c>
      <c r="C6" s="68" t="s">
        <v>10</v>
      </c>
      <c r="D6" s="68" t="s">
        <v>11</v>
      </c>
      <c r="E6" s="68" t="s">
        <v>12</v>
      </c>
      <c r="F6" s="68" t="s">
        <v>13</v>
      </c>
      <c r="G6" s="68" t="s">
        <v>14</v>
      </c>
      <c r="H6" s="68" t="s">
        <v>15</v>
      </c>
      <c r="I6" s="37"/>
      <c r="J6" s="49" t="s">
        <v>4</v>
      </c>
    </row>
    <row r="7" spans="1:10" x14ac:dyDescent="0.25">
      <c r="A7" s="50" t="s">
        <v>16</v>
      </c>
      <c r="B7" s="62">
        <f>VLOOKUP($A$5,'Trapéz adatok'!$A$2:$B$17,2,FALSE)</f>
        <v>1.04</v>
      </c>
      <c r="C7" s="62"/>
      <c r="D7" s="28"/>
      <c r="E7" s="63">
        <f>B7*C7*D7</f>
        <v>0</v>
      </c>
      <c r="F7" s="64">
        <f>$H$5</f>
        <v>0</v>
      </c>
      <c r="G7" s="64">
        <f>E7*F7</f>
        <v>0</v>
      </c>
      <c r="H7" s="64">
        <f>G7*1.27</f>
        <v>0</v>
      </c>
      <c r="I7" s="37"/>
      <c r="J7" s="51" t="s">
        <v>5</v>
      </c>
    </row>
    <row r="8" spans="1:10" x14ac:dyDescent="0.25">
      <c r="A8" s="50" t="s">
        <v>17</v>
      </c>
      <c r="B8" s="62">
        <f>VLOOKUP($A$5,'Trapéz adatok'!$A$2:$B$17,2,FALSE)</f>
        <v>1.04</v>
      </c>
      <c r="C8" s="62"/>
      <c r="D8" s="28"/>
      <c r="E8" s="63">
        <f t="shared" ref="E8:E14" si="0">B8*C8*D8</f>
        <v>0</v>
      </c>
      <c r="F8" s="64">
        <f t="shared" ref="F8:F15" si="1">$H$5</f>
        <v>0</v>
      </c>
      <c r="G8" s="64">
        <f t="shared" ref="G8:G15" si="2">E8*F8</f>
        <v>0</v>
      </c>
      <c r="H8" s="64">
        <f t="shared" ref="H8:H15" si="3">G8*1.27</f>
        <v>0</v>
      </c>
      <c r="I8" s="37"/>
      <c r="J8" s="106"/>
    </row>
    <row r="9" spans="1:10" x14ac:dyDescent="0.25">
      <c r="A9" s="50" t="s">
        <v>18</v>
      </c>
      <c r="B9" s="62">
        <f>VLOOKUP($A$5,'Trapéz adatok'!$A$2:$B$17,2,FALSE)</f>
        <v>1.04</v>
      </c>
      <c r="C9" s="62"/>
      <c r="D9" s="28"/>
      <c r="E9" s="63">
        <f t="shared" si="0"/>
        <v>0</v>
      </c>
      <c r="F9" s="64">
        <f t="shared" si="1"/>
        <v>0</v>
      </c>
      <c r="G9" s="64">
        <f t="shared" si="2"/>
        <v>0</v>
      </c>
      <c r="H9" s="64">
        <f t="shared" si="3"/>
        <v>0</v>
      </c>
      <c r="I9" s="37"/>
      <c r="J9" s="107"/>
    </row>
    <row r="10" spans="1:10" x14ac:dyDescent="0.25">
      <c r="A10" s="50" t="s">
        <v>19</v>
      </c>
      <c r="B10" s="62">
        <f>VLOOKUP($A$5,'Trapéz adatok'!$A$2:$B$17,2,FALSE)</f>
        <v>1.04</v>
      </c>
      <c r="C10" s="62"/>
      <c r="D10" s="28"/>
      <c r="E10" s="63">
        <f t="shared" si="0"/>
        <v>0</v>
      </c>
      <c r="F10" s="64">
        <f t="shared" si="1"/>
        <v>0</v>
      </c>
      <c r="G10" s="64">
        <f t="shared" si="2"/>
        <v>0</v>
      </c>
      <c r="H10" s="64">
        <f t="shared" si="3"/>
        <v>0</v>
      </c>
      <c r="I10" s="37"/>
      <c r="J10" s="38"/>
    </row>
    <row r="11" spans="1:10" x14ac:dyDescent="0.25">
      <c r="A11" s="50" t="s">
        <v>20</v>
      </c>
      <c r="B11" s="62">
        <f>VLOOKUP($A$5,'Trapéz adatok'!$A$2:$B$17,2,FALSE)</f>
        <v>1.04</v>
      </c>
      <c r="C11" s="62"/>
      <c r="D11" s="28"/>
      <c r="E11" s="63">
        <f t="shared" si="0"/>
        <v>0</v>
      </c>
      <c r="F11" s="64">
        <f t="shared" si="1"/>
        <v>0</v>
      </c>
      <c r="G11" s="64">
        <f t="shared" si="2"/>
        <v>0</v>
      </c>
      <c r="H11" s="64">
        <f t="shared" si="3"/>
        <v>0</v>
      </c>
      <c r="I11" s="37"/>
      <c r="J11" s="38"/>
    </row>
    <row r="12" spans="1:10" x14ac:dyDescent="0.25">
      <c r="A12" s="50" t="s">
        <v>21</v>
      </c>
      <c r="B12" s="62">
        <f>VLOOKUP($A$5,'Trapéz adatok'!$A$2:$B$17,2,FALSE)</f>
        <v>1.04</v>
      </c>
      <c r="C12" s="62"/>
      <c r="D12" s="28"/>
      <c r="E12" s="63">
        <f t="shared" si="0"/>
        <v>0</v>
      </c>
      <c r="F12" s="64">
        <f t="shared" si="1"/>
        <v>0</v>
      </c>
      <c r="G12" s="64">
        <f t="shared" si="2"/>
        <v>0</v>
      </c>
      <c r="H12" s="64">
        <f t="shared" si="3"/>
        <v>0</v>
      </c>
      <c r="I12" s="37"/>
      <c r="J12" s="38"/>
    </row>
    <row r="13" spans="1:10" x14ac:dyDescent="0.25">
      <c r="A13" s="50" t="s">
        <v>22</v>
      </c>
      <c r="B13" s="62">
        <f>VLOOKUP($A$5,'Trapéz adatok'!$A$2:$B$17,2,FALSE)</f>
        <v>1.04</v>
      </c>
      <c r="C13" s="62"/>
      <c r="D13" s="28"/>
      <c r="E13" s="63">
        <f t="shared" si="0"/>
        <v>0</v>
      </c>
      <c r="F13" s="64">
        <f t="shared" si="1"/>
        <v>0</v>
      </c>
      <c r="G13" s="64">
        <f t="shared" si="2"/>
        <v>0</v>
      </c>
      <c r="H13" s="64">
        <f t="shared" si="3"/>
        <v>0</v>
      </c>
      <c r="I13" s="37"/>
      <c r="J13" s="38"/>
    </row>
    <row r="14" spans="1:10" x14ac:dyDescent="0.25">
      <c r="A14" s="50" t="s">
        <v>23</v>
      </c>
      <c r="B14" s="62">
        <f>VLOOKUP($A$5,'Trapéz adatok'!$A$2:$B$17,2,FALSE)</f>
        <v>1.04</v>
      </c>
      <c r="C14" s="62"/>
      <c r="D14" s="28"/>
      <c r="E14" s="63">
        <f t="shared" si="0"/>
        <v>0</v>
      </c>
      <c r="F14" s="64">
        <f t="shared" si="1"/>
        <v>0</v>
      </c>
      <c r="G14" s="64">
        <f t="shared" si="2"/>
        <v>0</v>
      </c>
      <c r="H14" s="64">
        <f t="shared" si="3"/>
        <v>0</v>
      </c>
      <c r="I14" s="37"/>
      <c r="J14" s="38"/>
    </row>
    <row r="15" spans="1:10" x14ac:dyDescent="0.25">
      <c r="A15" s="85"/>
      <c r="B15" s="191" t="s">
        <v>38</v>
      </c>
      <c r="C15" s="191"/>
      <c r="D15" s="191"/>
      <c r="E15" s="66">
        <f>SUM(E7:E14)</f>
        <v>0</v>
      </c>
      <c r="F15" s="64">
        <f t="shared" si="1"/>
        <v>0</v>
      </c>
      <c r="G15" s="67">
        <f t="shared" si="2"/>
        <v>0</v>
      </c>
      <c r="H15" s="67">
        <f t="shared" si="3"/>
        <v>0</v>
      </c>
      <c r="I15" s="37"/>
      <c r="J15" s="38"/>
    </row>
    <row r="16" spans="1:10" x14ac:dyDescent="0.25">
      <c r="A16" s="52"/>
      <c r="B16" s="84"/>
      <c r="C16" s="84"/>
      <c r="D16" s="84"/>
      <c r="E16" s="32"/>
      <c r="F16" s="33"/>
      <c r="G16" s="34"/>
      <c r="H16" s="34"/>
      <c r="I16" s="37"/>
      <c r="J16" s="38"/>
    </row>
    <row r="17" spans="1:10" x14ac:dyDescent="0.25">
      <c r="A17" s="193" t="s">
        <v>36</v>
      </c>
      <c r="B17" s="193"/>
      <c r="C17" s="78" t="s">
        <v>82</v>
      </c>
      <c r="D17" s="193" t="s">
        <v>6</v>
      </c>
      <c r="E17" s="193"/>
      <c r="F17" s="79" t="s">
        <v>81</v>
      </c>
      <c r="G17" s="80" t="s">
        <v>37</v>
      </c>
      <c r="H17" s="165" t="s">
        <v>7</v>
      </c>
      <c r="I17" s="165"/>
      <c r="J17" s="38"/>
    </row>
    <row r="18" spans="1:10" ht="33" customHeight="1" x14ac:dyDescent="0.25">
      <c r="A18" s="117" t="s">
        <v>131</v>
      </c>
      <c r="B18" s="117"/>
      <c r="C18" s="74"/>
      <c r="D18" s="118"/>
      <c r="E18" s="119"/>
      <c r="F18" s="46"/>
      <c r="G18" s="46"/>
      <c r="H18" s="126"/>
      <c r="I18" s="127"/>
      <c r="J18" s="38"/>
    </row>
    <row r="19" spans="1:10" ht="25.5" x14ac:dyDescent="0.25">
      <c r="A19" s="50"/>
      <c r="B19" s="68" t="s">
        <v>9</v>
      </c>
      <c r="C19" s="68" t="s">
        <v>10</v>
      </c>
      <c r="D19" s="68" t="s">
        <v>11</v>
      </c>
      <c r="E19" s="68" t="s">
        <v>12</v>
      </c>
      <c r="F19" s="68" t="s">
        <v>13</v>
      </c>
      <c r="G19" s="68" t="s">
        <v>14</v>
      </c>
      <c r="H19" s="68" t="s">
        <v>15</v>
      </c>
      <c r="I19" s="37"/>
      <c r="J19" s="38"/>
    </row>
    <row r="20" spans="1:10" x14ac:dyDescent="0.25">
      <c r="A20" s="50" t="s">
        <v>16</v>
      </c>
      <c r="B20" s="62">
        <f>VLOOKUP($A$18,'Trapéz adatok'!$A$2:$B$17,2,FALSE)</f>
        <v>1.18</v>
      </c>
      <c r="C20" s="62"/>
      <c r="D20" s="28"/>
      <c r="E20" s="63">
        <f>B20*C20*D20</f>
        <v>0</v>
      </c>
      <c r="F20" s="64">
        <f>$H$18</f>
        <v>0</v>
      </c>
      <c r="G20" s="64">
        <f>E20*F20</f>
        <v>0</v>
      </c>
      <c r="H20" s="64">
        <f>G20*1.27</f>
        <v>0</v>
      </c>
      <c r="I20" s="37"/>
      <c r="J20" s="38"/>
    </row>
    <row r="21" spans="1:10" x14ac:dyDescent="0.25">
      <c r="A21" s="50" t="s">
        <v>17</v>
      </c>
      <c r="B21" s="62">
        <f>VLOOKUP($A$18,'Trapéz adatok'!$A$2:$B$17,2,FALSE)</f>
        <v>1.18</v>
      </c>
      <c r="C21" s="62"/>
      <c r="D21" s="28"/>
      <c r="E21" s="63">
        <f t="shared" ref="E21:E27" si="4">B21*C21*D21</f>
        <v>0</v>
      </c>
      <c r="F21" s="64">
        <f t="shared" ref="F21:F28" si="5">$H$18</f>
        <v>0</v>
      </c>
      <c r="G21" s="64">
        <f t="shared" ref="G21:G28" si="6">E21*F21</f>
        <v>0</v>
      </c>
      <c r="H21" s="64">
        <f t="shared" ref="H21:H28" si="7">G21*1.27</f>
        <v>0</v>
      </c>
      <c r="I21" s="37"/>
      <c r="J21" s="38"/>
    </row>
    <row r="22" spans="1:10" x14ac:dyDescent="0.25">
      <c r="A22" s="50" t="s">
        <v>18</v>
      </c>
      <c r="B22" s="62">
        <f>VLOOKUP($A$18,'Trapéz adatok'!$A$2:$B$17,2,FALSE)</f>
        <v>1.18</v>
      </c>
      <c r="C22" s="62"/>
      <c r="D22" s="28"/>
      <c r="E22" s="63">
        <f t="shared" si="4"/>
        <v>0</v>
      </c>
      <c r="F22" s="64">
        <f t="shared" si="5"/>
        <v>0</v>
      </c>
      <c r="G22" s="64">
        <f t="shared" si="6"/>
        <v>0</v>
      </c>
      <c r="H22" s="64">
        <f t="shared" si="7"/>
        <v>0</v>
      </c>
      <c r="I22" s="37"/>
      <c r="J22" s="38"/>
    </row>
    <row r="23" spans="1:10" x14ac:dyDescent="0.25">
      <c r="A23" s="50" t="s">
        <v>19</v>
      </c>
      <c r="B23" s="62">
        <f>VLOOKUP($A$18,'Trapéz adatok'!$A$2:$B$17,2,FALSE)</f>
        <v>1.18</v>
      </c>
      <c r="C23" s="62"/>
      <c r="D23" s="28"/>
      <c r="E23" s="63">
        <f t="shared" si="4"/>
        <v>0</v>
      </c>
      <c r="F23" s="64">
        <f t="shared" si="5"/>
        <v>0</v>
      </c>
      <c r="G23" s="64">
        <f t="shared" si="6"/>
        <v>0</v>
      </c>
      <c r="H23" s="64">
        <f t="shared" si="7"/>
        <v>0</v>
      </c>
      <c r="I23" s="37"/>
      <c r="J23" s="38"/>
    </row>
    <row r="24" spans="1:10" x14ac:dyDescent="0.25">
      <c r="A24" s="50" t="s">
        <v>20</v>
      </c>
      <c r="B24" s="62">
        <f>VLOOKUP($A$18,'Trapéz adatok'!$A$2:$B$17,2,FALSE)</f>
        <v>1.18</v>
      </c>
      <c r="C24" s="62"/>
      <c r="D24" s="28"/>
      <c r="E24" s="63">
        <f t="shared" si="4"/>
        <v>0</v>
      </c>
      <c r="F24" s="64">
        <f t="shared" si="5"/>
        <v>0</v>
      </c>
      <c r="G24" s="64">
        <f t="shared" si="6"/>
        <v>0</v>
      </c>
      <c r="H24" s="64">
        <f t="shared" si="7"/>
        <v>0</v>
      </c>
      <c r="I24" s="37"/>
      <c r="J24" s="38"/>
    </row>
    <row r="25" spans="1:10" x14ac:dyDescent="0.25">
      <c r="A25" s="50" t="s">
        <v>21</v>
      </c>
      <c r="B25" s="62">
        <f>VLOOKUP($A$18,'Trapéz adatok'!$A$2:$B$17,2,FALSE)</f>
        <v>1.18</v>
      </c>
      <c r="C25" s="62"/>
      <c r="D25" s="28"/>
      <c r="E25" s="63">
        <f t="shared" si="4"/>
        <v>0</v>
      </c>
      <c r="F25" s="64">
        <f t="shared" si="5"/>
        <v>0</v>
      </c>
      <c r="G25" s="64">
        <f t="shared" si="6"/>
        <v>0</v>
      </c>
      <c r="H25" s="64">
        <f t="shared" si="7"/>
        <v>0</v>
      </c>
      <c r="I25" s="37"/>
      <c r="J25" s="38"/>
    </row>
    <row r="26" spans="1:10" x14ac:dyDescent="0.25">
      <c r="A26" s="50" t="s">
        <v>22</v>
      </c>
      <c r="B26" s="62">
        <f>VLOOKUP($A$18,'Trapéz adatok'!$A$2:$B$17,2,FALSE)</f>
        <v>1.18</v>
      </c>
      <c r="C26" s="62"/>
      <c r="D26" s="28"/>
      <c r="E26" s="63">
        <f t="shared" si="4"/>
        <v>0</v>
      </c>
      <c r="F26" s="64">
        <f t="shared" si="5"/>
        <v>0</v>
      </c>
      <c r="G26" s="64">
        <f t="shared" si="6"/>
        <v>0</v>
      </c>
      <c r="H26" s="64">
        <f t="shared" si="7"/>
        <v>0</v>
      </c>
      <c r="I26" s="37"/>
      <c r="J26" s="38"/>
    </row>
    <row r="27" spans="1:10" x14ac:dyDescent="0.25">
      <c r="A27" s="50" t="s">
        <v>23</v>
      </c>
      <c r="B27" s="62">
        <f>VLOOKUP($A$18,'Trapéz adatok'!$A$2:$B$17,2,FALSE)</f>
        <v>1.18</v>
      </c>
      <c r="C27" s="62"/>
      <c r="D27" s="28"/>
      <c r="E27" s="63">
        <f t="shared" si="4"/>
        <v>0</v>
      </c>
      <c r="F27" s="64">
        <f t="shared" si="5"/>
        <v>0</v>
      </c>
      <c r="G27" s="64">
        <f t="shared" si="6"/>
        <v>0</v>
      </c>
      <c r="H27" s="64">
        <f t="shared" si="7"/>
        <v>0</v>
      </c>
      <c r="I27" s="37"/>
      <c r="J27" s="38"/>
    </row>
    <row r="28" spans="1:10" x14ac:dyDescent="0.25">
      <c r="A28" s="85"/>
      <c r="B28" s="149" t="s">
        <v>38</v>
      </c>
      <c r="C28" s="149"/>
      <c r="D28" s="149"/>
      <c r="E28" s="61">
        <f>SUM(E20:E27)</f>
        <v>0</v>
      </c>
      <c r="F28" s="55">
        <f t="shared" si="5"/>
        <v>0</v>
      </c>
      <c r="G28" s="55">
        <f t="shared" si="6"/>
        <v>0</v>
      </c>
      <c r="H28" s="55">
        <f t="shared" si="7"/>
        <v>0</v>
      </c>
      <c r="I28" s="37"/>
      <c r="J28" s="38"/>
    </row>
    <row r="29" spans="1:10" x14ac:dyDescent="0.25">
      <c r="A29" s="52"/>
      <c r="B29" s="84"/>
      <c r="C29" s="84"/>
      <c r="D29" s="84"/>
      <c r="E29" s="32"/>
      <c r="F29" s="33"/>
      <c r="G29" s="34"/>
      <c r="H29" s="34"/>
      <c r="I29" s="37"/>
      <c r="J29" s="38"/>
    </row>
    <row r="30" spans="1:10" x14ac:dyDescent="0.25">
      <c r="A30" s="52"/>
      <c r="B30" s="217" t="s">
        <v>39</v>
      </c>
      <c r="C30" s="217"/>
      <c r="D30" s="217"/>
      <c r="E30" s="217"/>
      <c r="F30" s="217"/>
      <c r="G30" s="217"/>
      <c r="H30" s="217"/>
      <c r="I30" s="37"/>
      <c r="J30" s="38"/>
    </row>
    <row r="31" spans="1:10" x14ac:dyDescent="0.25">
      <c r="A31" s="52"/>
      <c r="B31" s="54" t="s">
        <v>40</v>
      </c>
      <c r="C31" s="53" t="s">
        <v>41</v>
      </c>
      <c r="D31" s="191" t="s">
        <v>13</v>
      </c>
      <c r="E31" s="191"/>
      <c r="F31" s="191" t="s">
        <v>14</v>
      </c>
      <c r="G31" s="191"/>
      <c r="H31" s="191" t="s">
        <v>15</v>
      </c>
      <c r="I31" s="191"/>
      <c r="J31" s="38"/>
    </row>
    <row r="32" spans="1:10" x14ac:dyDescent="0.25">
      <c r="A32" s="52"/>
      <c r="B32" s="17" t="s">
        <v>129</v>
      </c>
      <c r="C32" s="29"/>
      <c r="D32" s="176"/>
      <c r="E32" s="177"/>
      <c r="F32" s="176">
        <f>C32*D32</f>
        <v>0</v>
      </c>
      <c r="G32" s="177"/>
      <c r="H32" s="176">
        <f>F32*1.27</f>
        <v>0</v>
      </c>
      <c r="I32" s="177"/>
      <c r="J32" s="38"/>
    </row>
    <row r="33" spans="1:10" x14ac:dyDescent="0.25">
      <c r="A33" s="52"/>
      <c r="B33" s="17" t="s">
        <v>115</v>
      </c>
      <c r="C33" s="27"/>
      <c r="D33" s="176"/>
      <c r="E33" s="177"/>
      <c r="F33" s="176">
        <f t="shared" ref="F33:F45" si="8">C33*D33</f>
        <v>0</v>
      </c>
      <c r="G33" s="177"/>
      <c r="H33" s="176">
        <f t="shared" ref="H33:H46" si="9">F33*1.27</f>
        <v>0</v>
      </c>
      <c r="I33" s="177"/>
      <c r="J33" s="38"/>
    </row>
    <row r="34" spans="1:10" x14ac:dyDescent="0.25">
      <c r="A34" s="52"/>
      <c r="B34" s="17" t="s">
        <v>43</v>
      </c>
      <c r="C34" s="27"/>
      <c r="D34" s="176"/>
      <c r="E34" s="177"/>
      <c r="F34" s="176">
        <f t="shared" si="8"/>
        <v>0</v>
      </c>
      <c r="G34" s="177"/>
      <c r="H34" s="176">
        <f t="shared" si="9"/>
        <v>0</v>
      </c>
      <c r="I34" s="177"/>
      <c r="J34" s="38"/>
    </row>
    <row r="35" spans="1:10" x14ac:dyDescent="0.25">
      <c r="A35" s="52"/>
      <c r="B35" s="17" t="s">
        <v>44</v>
      </c>
      <c r="C35" s="27"/>
      <c r="D35" s="176"/>
      <c r="E35" s="177"/>
      <c r="F35" s="176">
        <f t="shared" si="8"/>
        <v>0</v>
      </c>
      <c r="G35" s="177"/>
      <c r="H35" s="176">
        <f t="shared" si="9"/>
        <v>0</v>
      </c>
      <c r="I35" s="177"/>
      <c r="J35" s="38"/>
    </row>
    <row r="36" spans="1:10" x14ac:dyDescent="0.25">
      <c r="A36" s="52"/>
      <c r="B36" s="17" t="s">
        <v>122</v>
      </c>
      <c r="C36" s="27"/>
      <c r="D36" s="176"/>
      <c r="E36" s="177"/>
      <c r="F36" s="176">
        <f t="shared" si="8"/>
        <v>0</v>
      </c>
      <c r="G36" s="177"/>
      <c r="H36" s="176">
        <f t="shared" si="9"/>
        <v>0</v>
      </c>
      <c r="I36" s="177"/>
      <c r="J36" s="38"/>
    </row>
    <row r="37" spans="1:10" x14ac:dyDescent="0.25">
      <c r="A37" s="52"/>
      <c r="B37" s="17" t="s">
        <v>46</v>
      </c>
      <c r="C37" s="27"/>
      <c r="D37" s="176"/>
      <c r="E37" s="177"/>
      <c r="F37" s="176">
        <f t="shared" si="8"/>
        <v>0</v>
      </c>
      <c r="G37" s="177"/>
      <c r="H37" s="176">
        <f t="shared" si="9"/>
        <v>0</v>
      </c>
      <c r="I37" s="177"/>
      <c r="J37" s="38"/>
    </row>
    <row r="38" spans="1:10" x14ac:dyDescent="0.25">
      <c r="A38" s="52"/>
      <c r="B38" s="17" t="s">
        <v>137</v>
      </c>
      <c r="C38" s="27"/>
      <c r="D38" s="176"/>
      <c r="E38" s="177"/>
      <c r="F38" s="176">
        <f t="shared" si="8"/>
        <v>0</v>
      </c>
      <c r="G38" s="177"/>
      <c r="H38" s="176">
        <f t="shared" si="9"/>
        <v>0</v>
      </c>
      <c r="I38" s="177"/>
      <c r="J38" s="38"/>
    </row>
    <row r="39" spans="1:10" x14ac:dyDescent="0.25">
      <c r="A39" s="52"/>
      <c r="B39" s="17" t="s">
        <v>47</v>
      </c>
      <c r="C39" s="27"/>
      <c r="D39" s="176"/>
      <c r="E39" s="177"/>
      <c r="F39" s="176">
        <f t="shared" si="8"/>
        <v>0</v>
      </c>
      <c r="G39" s="177"/>
      <c r="H39" s="176">
        <f t="shared" si="9"/>
        <v>0</v>
      </c>
      <c r="I39" s="177"/>
      <c r="J39" s="38"/>
    </row>
    <row r="40" spans="1:10" x14ac:dyDescent="0.25">
      <c r="A40" s="52"/>
      <c r="B40" s="17" t="s">
        <v>48</v>
      </c>
      <c r="C40" s="27"/>
      <c r="D40" s="176"/>
      <c r="E40" s="177"/>
      <c r="F40" s="176">
        <f t="shared" si="8"/>
        <v>0</v>
      </c>
      <c r="G40" s="177"/>
      <c r="H40" s="176">
        <f t="shared" si="9"/>
        <v>0</v>
      </c>
      <c r="I40" s="177"/>
      <c r="J40" s="38"/>
    </row>
    <row r="41" spans="1:10" x14ac:dyDescent="0.25">
      <c r="A41" s="52"/>
      <c r="B41" s="17" t="s">
        <v>49</v>
      </c>
      <c r="C41" s="27"/>
      <c r="D41" s="176"/>
      <c r="E41" s="177"/>
      <c r="F41" s="176">
        <f t="shared" si="8"/>
        <v>0</v>
      </c>
      <c r="G41" s="177"/>
      <c r="H41" s="176">
        <f t="shared" si="9"/>
        <v>0</v>
      </c>
      <c r="I41" s="177"/>
      <c r="J41" s="38"/>
    </row>
    <row r="42" spans="1:10" x14ac:dyDescent="0.25">
      <c r="A42" s="52"/>
      <c r="B42" s="17" t="s">
        <v>50</v>
      </c>
      <c r="C42" s="29"/>
      <c r="D42" s="176"/>
      <c r="E42" s="177"/>
      <c r="F42" s="176">
        <f t="shared" si="8"/>
        <v>0</v>
      </c>
      <c r="G42" s="177"/>
      <c r="H42" s="176">
        <f t="shared" si="9"/>
        <v>0</v>
      </c>
      <c r="I42" s="177"/>
      <c r="J42" s="38"/>
    </row>
    <row r="43" spans="1:10" x14ac:dyDescent="0.25">
      <c r="A43" s="52"/>
      <c r="B43" s="17" t="s">
        <v>51</v>
      </c>
      <c r="C43" s="29"/>
      <c r="D43" s="176"/>
      <c r="E43" s="177"/>
      <c r="F43" s="176">
        <f t="shared" si="8"/>
        <v>0</v>
      </c>
      <c r="G43" s="177"/>
      <c r="H43" s="176">
        <f t="shared" si="9"/>
        <v>0</v>
      </c>
      <c r="I43" s="177"/>
      <c r="J43" s="38"/>
    </row>
    <row r="44" spans="1:10" x14ac:dyDescent="0.25">
      <c r="A44" s="52"/>
      <c r="B44" s="17" t="s">
        <v>54</v>
      </c>
      <c r="C44" s="29"/>
      <c r="D44" s="176"/>
      <c r="E44" s="177"/>
      <c r="F44" s="176">
        <f t="shared" si="8"/>
        <v>0</v>
      </c>
      <c r="G44" s="177"/>
      <c r="H44" s="176">
        <f t="shared" si="9"/>
        <v>0</v>
      </c>
      <c r="I44" s="177"/>
      <c r="J44" s="38"/>
    </row>
    <row r="45" spans="1:10" x14ac:dyDescent="0.25">
      <c r="A45" s="52"/>
      <c r="B45" s="17" t="s">
        <v>116</v>
      </c>
      <c r="C45" s="27"/>
      <c r="D45" s="176"/>
      <c r="E45" s="177"/>
      <c r="F45" s="176">
        <f t="shared" si="8"/>
        <v>0</v>
      </c>
      <c r="G45" s="177"/>
      <c r="H45" s="176">
        <f t="shared" si="9"/>
        <v>0</v>
      </c>
      <c r="I45" s="177"/>
      <c r="J45" s="38"/>
    </row>
    <row r="46" spans="1:10" x14ac:dyDescent="0.25">
      <c r="A46" s="52"/>
      <c r="B46" s="149" t="s">
        <v>38</v>
      </c>
      <c r="C46" s="149"/>
      <c r="D46" s="149"/>
      <c r="E46" s="149"/>
      <c r="F46" s="204">
        <f>SUM(F32:F45)</f>
        <v>0</v>
      </c>
      <c r="G46" s="204"/>
      <c r="H46" s="204">
        <f t="shared" si="9"/>
        <v>0</v>
      </c>
      <c r="I46" s="204"/>
      <c r="J46" s="38"/>
    </row>
    <row r="47" spans="1:10" ht="17.25" customHeight="1" x14ac:dyDescent="0.25">
      <c r="A47" s="52"/>
      <c r="B47" s="164" t="s">
        <v>55</v>
      </c>
      <c r="C47" s="164"/>
      <c r="D47" s="150">
        <f>G15+G28+F46</f>
        <v>0</v>
      </c>
      <c r="E47" s="151"/>
      <c r="F47" s="165" t="s">
        <v>57</v>
      </c>
      <c r="G47" s="165"/>
      <c r="H47" s="150">
        <f>D47*1.27</f>
        <v>0</v>
      </c>
      <c r="I47" s="151"/>
      <c r="J47" s="38"/>
    </row>
    <row r="48" spans="1:10" ht="13.5" customHeight="1" x14ac:dyDescent="0.25">
      <c r="A48" s="52"/>
      <c r="B48" s="184" t="s">
        <v>56</v>
      </c>
      <c r="C48" s="184"/>
      <c r="D48" s="169"/>
      <c r="E48" s="169"/>
      <c r="F48" s="168"/>
      <c r="G48" s="168"/>
      <c r="H48" s="169"/>
      <c r="I48" s="169"/>
      <c r="J48" s="38"/>
    </row>
    <row r="49" spans="1:10" ht="11.25" customHeight="1" x14ac:dyDescent="0.25">
      <c r="A49" s="209" t="s">
        <v>58</v>
      </c>
      <c r="B49" s="210"/>
      <c r="C49" s="210"/>
      <c r="D49" s="210"/>
      <c r="E49" s="210"/>
      <c r="F49" s="210"/>
      <c r="G49" s="210"/>
      <c r="H49" s="210"/>
      <c r="I49" s="210"/>
      <c r="J49" s="211"/>
    </row>
    <row r="50" spans="1:10" ht="16.5" thickBot="1" x14ac:dyDescent="0.3">
      <c r="A50" s="212"/>
      <c r="B50" s="213"/>
      <c r="C50" s="213"/>
      <c r="D50" s="213"/>
      <c r="E50" s="213"/>
      <c r="F50" s="213"/>
      <c r="G50" s="213"/>
      <c r="H50" s="213"/>
      <c r="I50" s="213"/>
      <c r="J50" s="214"/>
    </row>
    <row r="51" spans="1:10" ht="27" customHeight="1" thickBot="1" x14ac:dyDescent="0.3">
      <c r="A51" s="200" t="s">
        <v>59</v>
      </c>
      <c r="B51" s="201"/>
      <c r="C51" s="201"/>
      <c r="D51" s="201"/>
      <c r="E51" s="201"/>
      <c r="F51" s="187" t="s">
        <v>124</v>
      </c>
      <c r="G51" s="188"/>
      <c r="H51" s="215" t="s">
        <v>168</v>
      </c>
      <c r="I51" s="215"/>
      <c r="J51" s="216"/>
    </row>
    <row r="52" spans="1:10" x14ac:dyDescent="0.25">
      <c r="A52" s="143" t="s">
        <v>93</v>
      </c>
      <c r="B52" s="144"/>
      <c r="C52" s="144"/>
      <c r="D52" s="144"/>
      <c r="E52" s="144"/>
      <c r="F52" s="144"/>
      <c r="G52" s="144"/>
      <c r="H52" s="144"/>
      <c r="I52" s="144"/>
      <c r="J52" s="145"/>
    </row>
    <row r="53" spans="1:10" x14ac:dyDescent="0.25">
      <c r="A53" s="146"/>
      <c r="B53" s="147"/>
      <c r="C53" s="147"/>
      <c r="D53" s="147"/>
      <c r="E53" s="147"/>
      <c r="F53" s="147"/>
      <c r="G53" s="147"/>
      <c r="H53" s="147"/>
      <c r="I53" s="147"/>
      <c r="J53" s="148"/>
    </row>
    <row r="54" spans="1:10" ht="19.5" customHeight="1" x14ac:dyDescent="0.25">
      <c r="A54" s="199" t="s">
        <v>92</v>
      </c>
      <c r="B54" s="199"/>
      <c r="C54" s="199"/>
      <c r="D54" s="199"/>
      <c r="E54" s="199"/>
      <c r="F54" s="199"/>
      <c r="G54" s="199"/>
      <c r="H54" s="199"/>
      <c r="I54" s="199"/>
      <c r="J54" s="199"/>
    </row>
    <row r="55" spans="1:10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</row>
    <row r="56" spans="1:10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</row>
    <row r="57" spans="1:10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</row>
    <row r="58" spans="1:10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</row>
    <row r="59" spans="1:10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</row>
    <row r="60" spans="1:10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</row>
    <row r="61" spans="1:10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</row>
    <row r="62" spans="1:10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</row>
    <row r="63" spans="1:10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</row>
    <row r="64" spans="1:10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</row>
    <row r="65" spans="1:10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</row>
    <row r="66" spans="1:10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</row>
    <row r="67" spans="1:10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</row>
    <row r="68" spans="1:10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</row>
    <row r="69" spans="1:10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</row>
    <row r="70" spans="1:10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</row>
    <row r="71" spans="1:10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</row>
    <row r="72" spans="1:10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</row>
    <row r="73" spans="1:10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</row>
    <row r="74" spans="1:10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</row>
    <row r="75" spans="1:10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</row>
    <row r="76" spans="1:10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</row>
    <row r="77" spans="1:10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</row>
    <row r="78" spans="1:10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</row>
    <row r="79" spans="1:10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</row>
    <row r="80" spans="1:10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</row>
    <row r="81" spans="1:10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</row>
    <row r="82" spans="1:10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</row>
    <row r="83" spans="1:10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</row>
    <row r="84" spans="1:10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</row>
    <row r="85" spans="1:10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</row>
    <row r="86" spans="1:10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</row>
    <row r="87" spans="1:10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</row>
    <row r="88" spans="1:10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</row>
    <row r="89" spans="1:10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</row>
    <row r="90" spans="1:10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</row>
    <row r="91" spans="1:10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</row>
    <row r="92" spans="1:10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</row>
    <row r="93" spans="1:10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</row>
    <row r="94" spans="1:10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</row>
    <row r="95" spans="1:10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</row>
    <row r="96" spans="1:10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</row>
    <row r="97" spans="1:10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</row>
    <row r="98" spans="1:10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</row>
    <row r="99" spans="1:10" x14ac:dyDescent="0.25">
      <c r="A99" s="105"/>
      <c r="B99" s="105"/>
      <c r="C99" s="105"/>
      <c r="D99" s="105"/>
      <c r="E99" s="105"/>
      <c r="F99" s="105"/>
      <c r="G99" s="105"/>
      <c r="H99" s="105"/>
      <c r="I99" s="105"/>
      <c r="J99" s="105"/>
    </row>
    <row r="100" spans="1:10" x14ac:dyDescent="0.2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</row>
    <row r="101" spans="1:10" x14ac:dyDescent="0.2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</row>
    <row r="102" spans="1:10" x14ac:dyDescent="0.2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</row>
  </sheetData>
  <mergeCells count="81">
    <mergeCell ref="A1:B2"/>
    <mergeCell ref="F1:G1"/>
    <mergeCell ref="F2:G2"/>
    <mergeCell ref="A3:B3"/>
    <mergeCell ref="C3:E3"/>
    <mergeCell ref="F3:G3"/>
    <mergeCell ref="A4:B4"/>
    <mergeCell ref="D4:E4"/>
    <mergeCell ref="H4:I4"/>
    <mergeCell ref="A5:B5"/>
    <mergeCell ref="D5:E5"/>
    <mergeCell ref="H5:I5"/>
    <mergeCell ref="J8:J9"/>
    <mergeCell ref="B15:D15"/>
    <mergeCell ref="B30:H30"/>
    <mergeCell ref="D31:E31"/>
    <mergeCell ref="F31:G31"/>
    <mergeCell ref="H31:I31"/>
    <mergeCell ref="A17:B17"/>
    <mergeCell ref="D17:E17"/>
    <mergeCell ref="H17:I17"/>
    <mergeCell ref="A18:B18"/>
    <mergeCell ref="D18:E18"/>
    <mergeCell ref="H18:I18"/>
    <mergeCell ref="B28:D28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D36:E36"/>
    <mergeCell ref="F36:G36"/>
    <mergeCell ref="H36:I36"/>
    <mergeCell ref="D37:E37"/>
    <mergeCell ref="F37:G37"/>
    <mergeCell ref="H37:I37"/>
    <mergeCell ref="D38:E38"/>
    <mergeCell ref="F38:G38"/>
    <mergeCell ref="H38:I38"/>
    <mergeCell ref="D39:E39"/>
    <mergeCell ref="F39:G39"/>
    <mergeCell ref="H39:I39"/>
    <mergeCell ref="D43:E43"/>
    <mergeCell ref="F43:G43"/>
    <mergeCell ref="H43:I43"/>
    <mergeCell ref="D40:E40"/>
    <mergeCell ref="F40:G40"/>
    <mergeCell ref="H40:I40"/>
    <mergeCell ref="D41:E41"/>
    <mergeCell ref="F41:G41"/>
    <mergeCell ref="H41:I41"/>
    <mergeCell ref="D42:E42"/>
    <mergeCell ref="F42:G42"/>
    <mergeCell ref="H42:I42"/>
    <mergeCell ref="A52:J53"/>
    <mergeCell ref="A54:J102"/>
    <mergeCell ref="B46:E46"/>
    <mergeCell ref="F46:G46"/>
    <mergeCell ref="H46:I46"/>
    <mergeCell ref="B47:C47"/>
    <mergeCell ref="D47:E48"/>
    <mergeCell ref="F47:G48"/>
    <mergeCell ref="H47:I48"/>
    <mergeCell ref="B48:C48"/>
    <mergeCell ref="A49:J50"/>
    <mergeCell ref="A51:E51"/>
    <mergeCell ref="F51:G51"/>
    <mergeCell ref="H51:J51"/>
    <mergeCell ref="D44:E44"/>
    <mergeCell ref="F44:G44"/>
    <mergeCell ref="H44:I44"/>
    <mergeCell ref="D45:E45"/>
    <mergeCell ref="F45:G45"/>
    <mergeCell ref="H45:I45"/>
  </mergeCells>
  <pageMargins left="0.25" right="0.25" top="0.75" bottom="0.75" header="0.3" footer="0.3"/>
  <pageSetup paperSize="9" fitToWidth="0" fitToHeight="0" orientation="portrait" r:id="rId1"/>
  <headerFooter>
    <oddHeader>&amp;L&amp;G&amp;C&amp;"Ubuntu,Félkövér"&amp;16&amp;KC00000AJÁNLATKÉRŐ LAP
&amp;10&amp;UAz ár érvényesség ideje 1 nap.&amp;R&amp;10Áraink &amp;"Ubuntu,Félkövér"nettó &amp;"Ubuntu,Normál"árak az 
&amp;"Ubuntu,Félkövér"ÁFÁ-t &amp;12nem&amp;"Ubuntu,Normál" &amp;10tartalmazzák</oddHeader>
    <oddFooter>&amp;Linfo@nyiregyhazalemezkereskedes.hu&amp;C&amp;10+36-30/203-07-19
+36-30/326-73-33
+36-30/203-09-19&amp;RNyitvatartás:
Hétfőtől - Péntekig 7:30 - 16:30
Szombat 7:30 - 12:30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30DDB9E-F8BD-4BD7-AC9A-B2E30F37A61D}">
          <x14:formula1>
            <xm:f>'Trapéz adatok'!$F$2:$F$14</xm:f>
          </x14:formula1>
          <xm:sqref>D5:E5 D18:E18</xm:sqref>
        </x14:dataValidation>
        <x14:dataValidation type="list" allowBlank="1" showInputMessage="1" showErrorMessage="1" xr:uid="{6F19B5CD-48A9-48ED-BB4C-92DA3E9BB8C0}">
          <x14:formula1>
            <xm:f>'Trapéz adatok'!$D$2:$D$7</xm:f>
          </x14:formula1>
          <xm:sqref>F5 F18</xm:sqref>
        </x14:dataValidation>
        <x14:dataValidation type="list" allowBlank="1" showInputMessage="1" showErrorMessage="1" xr:uid="{6DA5C13C-3300-4D50-B721-3BA6010E51FC}">
          <x14:formula1>
            <xm:f>'Cserepes adatok'!$H$2:$H$3</xm:f>
          </x14:formula1>
          <xm:sqref>G5 G18</xm:sqref>
        </x14:dataValidation>
        <x14:dataValidation type="list" allowBlank="1" showInputMessage="1" showErrorMessage="1" xr:uid="{96851CA7-7CEA-469D-805C-8E7FC3E3CAB3}">
          <x14:formula1>
            <xm:f>'Trapéz adatok'!$A$2:$A$17</xm:f>
          </x14:formula1>
          <xm:sqref>A5:B5 A18:B18</xm:sqref>
        </x14:dataValidation>
        <x14:dataValidation type="list" allowBlank="1" showInputMessage="1" showErrorMessage="1" xr:uid="{194E1366-C108-4B67-8A45-5D4C74B1F30C}">
          <x14:formula1>
            <xm:f>'Trapéz adatok'!$J$2:$J$34</xm:f>
          </x14:formula1>
          <xm:sqref>C5 C18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5CC5-2FF9-43C7-A4A2-5774DBFE23EA}">
  <sheetPr>
    <tabColor theme="5" tint="0.39997558519241921"/>
  </sheetPr>
  <dimension ref="A1:J111"/>
  <sheetViews>
    <sheetView view="pageLayout" zoomScaleNormal="100" workbookViewId="0">
      <selection activeCell="B9" sqref="B9"/>
    </sheetView>
  </sheetViews>
  <sheetFormatPr defaultRowHeight="15.75" x14ac:dyDescent="0.25"/>
  <cols>
    <col min="1" max="1" width="3" bestFit="1" customWidth="1"/>
    <col min="2" max="2" width="12" bestFit="1" customWidth="1"/>
    <col min="3" max="3" width="9.25" customWidth="1"/>
    <col min="4" max="4" width="7.5" customWidth="1"/>
    <col min="7" max="8" width="10.5" customWidth="1"/>
  </cols>
  <sheetData>
    <row r="1" spans="1:10" ht="19.5" customHeight="1" x14ac:dyDescent="0.25">
      <c r="A1" s="108" t="s">
        <v>52</v>
      </c>
      <c r="B1" s="108"/>
      <c r="C1" s="37"/>
      <c r="D1" s="37"/>
      <c r="E1" s="38"/>
      <c r="F1" s="108" t="s">
        <v>0</v>
      </c>
      <c r="G1" s="108"/>
      <c r="H1" s="40"/>
      <c r="I1" s="40"/>
      <c r="J1" s="40"/>
    </row>
    <row r="2" spans="1:10" ht="17.25" customHeight="1" x14ac:dyDescent="0.25">
      <c r="A2" s="109"/>
      <c r="B2" s="109"/>
      <c r="C2" s="69"/>
      <c r="D2" s="70"/>
      <c r="E2" s="71"/>
      <c r="F2" s="108" t="s">
        <v>1</v>
      </c>
      <c r="G2" s="108"/>
      <c r="H2" s="42"/>
      <c r="I2" s="42"/>
      <c r="J2" s="40"/>
    </row>
    <row r="3" spans="1:10" ht="19.5" customHeight="1" x14ac:dyDescent="0.25">
      <c r="A3" s="110" t="s">
        <v>53</v>
      </c>
      <c r="B3" s="110"/>
      <c r="C3" s="218"/>
      <c r="D3" s="218"/>
      <c r="E3" s="219"/>
      <c r="F3" s="109" t="s">
        <v>2</v>
      </c>
      <c r="G3" s="109"/>
      <c r="H3" s="72"/>
      <c r="I3" s="44"/>
      <c r="J3" s="44"/>
    </row>
    <row r="4" spans="1:10" x14ac:dyDescent="0.25">
      <c r="A4" s="111" t="s">
        <v>94</v>
      </c>
      <c r="B4" s="111"/>
      <c r="C4" s="75" t="s">
        <v>82</v>
      </c>
      <c r="D4" s="111" t="s">
        <v>6</v>
      </c>
      <c r="E4" s="111"/>
      <c r="F4" s="112" t="s">
        <v>95</v>
      </c>
      <c r="G4" s="113"/>
      <c r="H4" s="116" t="s">
        <v>7</v>
      </c>
      <c r="I4" s="116"/>
      <c r="J4" s="45" t="s">
        <v>3</v>
      </c>
    </row>
    <row r="5" spans="1:10" ht="30.75" customHeight="1" x14ac:dyDescent="0.25">
      <c r="A5" s="117"/>
      <c r="B5" s="117"/>
      <c r="C5" s="74"/>
      <c r="D5" s="118"/>
      <c r="E5" s="119"/>
      <c r="F5" s="118"/>
      <c r="G5" s="119"/>
      <c r="H5" s="126">
        <v>500</v>
      </c>
      <c r="I5" s="127"/>
      <c r="J5" s="48"/>
    </row>
    <row r="6" spans="1:10" ht="25.5" x14ac:dyDescent="0.25">
      <c r="A6" s="50"/>
      <c r="B6" s="68" t="s">
        <v>10</v>
      </c>
      <c r="C6" s="68" t="s">
        <v>11</v>
      </c>
      <c r="D6" s="68" t="s">
        <v>112</v>
      </c>
      <c r="E6" s="68" t="s">
        <v>13</v>
      </c>
      <c r="F6" s="68" t="s">
        <v>14</v>
      </c>
      <c r="G6" s="68" t="s">
        <v>15</v>
      </c>
      <c r="H6" s="37"/>
      <c r="I6" s="37"/>
      <c r="J6" s="49" t="s">
        <v>4</v>
      </c>
    </row>
    <row r="7" spans="1:10" x14ac:dyDescent="0.25">
      <c r="A7" s="91" t="s">
        <v>16</v>
      </c>
      <c r="B7" s="62"/>
      <c r="C7" s="28"/>
      <c r="D7" s="62">
        <f>B7*C7</f>
        <v>0</v>
      </c>
      <c r="E7" s="64">
        <f>$H$5</f>
        <v>500</v>
      </c>
      <c r="F7" s="64">
        <f>D7*E7</f>
        <v>0</v>
      </c>
      <c r="G7" s="64">
        <f>F7*1.27</f>
        <v>0</v>
      </c>
      <c r="H7" s="86"/>
      <c r="I7" s="37"/>
      <c r="J7" s="51" t="s">
        <v>5</v>
      </c>
    </row>
    <row r="8" spans="1:10" x14ac:dyDescent="0.25">
      <c r="A8" s="91" t="s">
        <v>17</v>
      </c>
      <c r="B8" s="62"/>
      <c r="C8" s="28"/>
      <c r="D8" s="62">
        <f t="shared" ref="D8:D18" si="0">B8*C8</f>
        <v>0</v>
      </c>
      <c r="E8" s="64">
        <f t="shared" ref="E8:E18" si="1">$H$5</f>
        <v>500</v>
      </c>
      <c r="F8" s="64">
        <f t="shared" ref="F8:F18" si="2">D8*E8</f>
        <v>0</v>
      </c>
      <c r="G8" s="64">
        <f t="shared" ref="G8:G19" si="3">F8*1.27</f>
        <v>0</v>
      </c>
      <c r="H8" s="86"/>
      <c r="I8" s="37"/>
      <c r="J8" s="106"/>
    </row>
    <row r="9" spans="1:10" x14ac:dyDescent="0.25">
      <c r="A9" s="91" t="s">
        <v>18</v>
      </c>
      <c r="B9" s="62"/>
      <c r="C9" s="28"/>
      <c r="D9" s="62">
        <f t="shared" si="0"/>
        <v>0</v>
      </c>
      <c r="E9" s="64">
        <f t="shared" si="1"/>
        <v>500</v>
      </c>
      <c r="F9" s="64">
        <f t="shared" si="2"/>
        <v>0</v>
      </c>
      <c r="G9" s="64">
        <f t="shared" si="3"/>
        <v>0</v>
      </c>
      <c r="H9" s="86"/>
      <c r="I9" s="37"/>
      <c r="J9" s="107"/>
    </row>
    <row r="10" spans="1:10" x14ac:dyDescent="0.25">
      <c r="A10" s="91" t="s">
        <v>19</v>
      </c>
      <c r="B10" s="62"/>
      <c r="C10" s="28"/>
      <c r="D10" s="62">
        <f t="shared" si="0"/>
        <v>0</v>
      </c>
      <c r="E10" s="64">
        <f t="shared" si="1"/>
        <v>500</v>
      </c>
      <c r="F10" s="64">
        <f t="shared" si="2"/>
        <v>0</v>
      </c>
      <c r="G10" s="64">
        <f t="shared" si="3"/>
        <v>0</v>
      </c>
      <c r="H10" s="86"/>
      <c r="I10" s="37"/>
      <c r="J10" s="38"/>
    </row>
    <row r="11" spans="1:10" x14ac:dyDescent="0.25">
      <c r="A11" s="91" t="s">
        <v>20</v>
      </c>
      <c r="B11" s="62"/>
      <c r="C11" s="28"/>
      <c r="D11" s="62">
        <f t="shared" si="0"/>
        <v>0</v>
      </c>
      <c r="E11" s="64">
        <f t="shared" si="1"/>
        <v>500</v>
      </c>
      <c r="F11" s="64">
        <f t="shared" si="2"/>
        <v>0</v>
      </c>
      <c r="G11" s="64">
        <f t="shared" si="3"/>
        <v>0</v>
      </c>
      <c r="H11" s="86"/>
      <c r="I11" s="37"/>
      <c r="J11" s="38"/>
    </row>
    <row r="12" spans="1:10" x14ac:dyDescent="0.25">
      <c r="A12" s="91" t="s">
        <v>21</v>
      </c>
      <c r="B12" s="62"/>
      <c r="C12" s="28"/>
      <c r="D12" s="62">
        <f t="shared" si="0"/>
        <v>0</v>
      </c>
      <c r="E12" s="64">
        <f t="shared" si="1"/>
        <v>500</v>
      </c>
      <c r="F12" s="64">
        <f t="shared" si="2"/>
        <v>0</v>
      </c>
      <c r="G12" s="64">
        <f t="shared" si="3"/>
        <v>0</v>
      </c>
      <c r="H12" s="86"/>
      <c r="I12" s="37"/>
      <c r="J12" s="38"/>
    </row>
    <row r="13" spans="1:10" x14ac:dyDescent="0.25">
      <c r="A13" s="91" t="s">
        <v>22</v>
      </c>
      <c r="B13" s="62"/>
      <c r="C13" s="28"/>
      <c r="D13" s="62">
        <f t="shared" si="0"/>
        <v>0</v>
      </c>
      <c r="E13" s="64">
        <f t="shared" si="1"/>
        <v>500</v>
      </c>
      <c r="F13" s="64">
        <f t="shared" si="2"/>
        <v>0</v>
      </c>
      <c r="G13" s="64">
        <f t="shared" si="3"/>
        <v>0</v>
      </c>
      <c r="H13" s="87"/>
      <c r="I13" s="37"/>
      <c r="J13" s="38"/>
    </row>
    <row r="14" spans="1:10" x14ac:dyDescent="0.25">
      <c r="A14" s="91" t="s">
        <v>23</v>
      </c>
      <c r="B14" s="62"/>
      <c r="C14" s="28"/>
      <c r="D14" s="62">
        <f t="shared" si="0"/>
        <v>0</v>
      </c>
      <c r="E14" s="64">
        <f t="shared" si="1"/>
        <v>500</v>
      </c>
      <c r="F14" s="64">
        <f t="shared" si="2"/>
        <v>0</v>
      </c>
      <c r="G14" s="64">
        <f t="shared" si="3"/>
        <v>0</v>
      </c>
      <c r="H14" s="37"/>
      <c r="I14" s="37"/>
      <c r="J14" s="38"/>
    </row>
    <row r="15" spans="1:10" x14ac:dyDescent="0.25">
      <c r="A15" s="91" t="s">
        <v>24</v>
      </c>
      <c r="B15" s="62"/>
      <c r="C15" s="28"/>
      <c r="D15" s="62">
        <f t="shared" si="0"/>
        <v>0</v>
      </c>
      <c r="E15" s="64">
        <f t="shared" si="1"/>
        <v>500</v>
      </c>
      <c r="F15" s="64">
        <f t="shared" si="2"/>
        <v>0</v>
      </c>
      <c r="G15" s="64">
        <f t="shared" si="3"/>
        <v>0</v>
      </c>
      <c r="H15" s="37"/>
      <c r="I15" s="37"/>
      <c r="J15" s="38"/>
    </row>
    <row r="16" spans="1:10" x14ac:dyDescent="0.25">
      <c r="A16" s="91" t="s">
        <v>25</v>
      </c>
      <c r="B16" s="62"/>
      <c r="C16" s="28"/>
      <c r="D16" s="62">
        <f t="shared" si="0"/>
        <v>0</v>
      </c>
      <c r="E16" s="64">
        <f t="shared" si="1"/>
        <v>500</v>
      </c>
      <c r="F16" s="64">
        <f t="shared" si="2"/>
        <v>0</v>
      </c>
      <c r="G16" s="64">
        <f t="shared" si="3"/>
        <v>0</v>
      </c>
      <c r="H16" s="37"/>
      <c r="I16" s="37"/>
      <c r="J16" s="38"/>
    </row>
    <row r="17" spans="1:10" x14ac:dyDescent="0.25">
      <c r="A17" s="91" t="s">
        <v>26</v>
      </c>
      <c r="B17" s="62"/>
      <c r="C17" s="28"/>
      <c r="D17" s="62">
        <f t="shared" si="0"/>
        <v>0</v>
      </c>
      <c r="E17" s="64">
        <f t="shared" si="1"/>
        <v>500</v>
      </c>
      <c r="F17" s="64">
        <f t="shared" si="2"/>
        <v>0</v>
      </c>
      <c r="G17" s="64">
        <f t="shared" si="3"/>
        <v>0</v>
      </c>
      <c r="H17" s="37"/>
      <c r="I17" s="37"/>
      <c r="J17" s="38"/>
    </row>
    <row r="18" spans="1:10" x14ac:dyDescent="0.25">
      <c r="A18" s="91" t="s">
        <v>27</v>
      </c>
      <c r="B18" s="62"/>
      <c r="C18" s="28"/>
      <c r="D18" s="62">
        <f t="shared" si="0"/>
        <v>0</v>
      </c>
      <c r="E18" s="64">
        <f t="shared" si="1"/>
        <v>500</v>
      </c>
      <c r="F18" s="64">
        <f t="shared" si="2"/>
        <v>0</v>
      </c>
      <c r="G18" s="64">
        <f t="shared" si="3"/>
        <v>0</v>
      </c>
      <c r="H18" s="37"/>
      <c r="I18" s="37"/>
      <c r="J18" s="38"/>
    </row>
    <row r="19" spans="1:10" x14ac:dyDescent="0.25">
      <c r="A19" s="92"/>
      <c r="B19" s="220" t="s">
        <v>38</v>
      </c>
      <c r="C19" s="221"/>
      <c r="D19" s="62">
        <f>SUM(D7:D18)</f>
        <v>0</v>
      </c>
      <c r="E19" s="64"/>
      <c r="F19" s="64">
        <f>SUM(F7:F18)</f>
        <v>0</v>
      </c>
      <c r="G19" s="67">
        <f t="shared" si="3"/>
        <v>0</v>
      </c>
      <c r="H19" s="37"/>
      <c r="I19" s="37"/>
      <c r="J19" s="38"/>
    </row>
    <row r="20" spans="1:10" x14ac:dyDescent="0.25">
      <c r="A20" s="52"/>
      <c r="B20" s="84"/>
      <c r="C20" s="84"/>
      <c r="D20" s="35"/>
      <c r="E20" s="33"/>
      <c r="F20" s="33"/>
      <c r="G20" s="34"/>
      <c r="H20" s="37"/>
      <c r="I20" s="37"/>
      <c r="J20" s="38"/>
    </row>
    <row r="21" spans="1:10" x14ac:dyDescent="0.25">
      <c r="A21" s="128" t="s">
        <v>114</v>
      </c>
      <c r="B21" s="129"/>
      <c r="C21" s="129"/>
      <c r="D21" s="129"/>
      <c r="E21" s="129"/>
      <c r="F21" s="129"/>
      <c r="G21" s="130"/>
      <c r="H21" s="37"/>
      <c r="I21" s="37"/>
      <c r="J21" s="38"/>
    </row>
    <row r="22" spans="1:10" ht="25.5" x14ac:dyDescent="0.25">
      <c r="A22" s="91"/>
      <c r="B22" s="68" t="s">
        <v>10</v>
      </c>
      <c r="C22" s="68" t="s">
        <v>11</v>
      </c>
      <c r="D22" s="68" t="s">
        <v>164</v>
      </c>
      <c r="E22" s="68" t="s">
        <v>13</v>
      </c>
      <c r="F22" s="68" t="s">
        <v>14</v>
      </c>
      <c r="G22" s="68" t="s">
        <v>15</v>
      </c>
      <c r="H22" s="37"/>
      <c r="I22" s="37"/>
      <c r="J22" s="38"/>
    </row>
    <row r="23" spans="1:10" x14ac:dyDescent="0.25">
      <c r="A23" s="91" t="s">
        <v>16</v>
      </c>
      <c r="B23" s="62"/>
      <c r="C23" s="28"/>
      <c r="D23" s="62">
        <f>B23*C23</f>
        <v>0</v>
      </c>
      <c r="E23" s="64">
        <v>0</v>
      </c>
      <c r="F23" s="64">
        <f>D23*E23</f>
        <v>0</v>
      </c>
      <c r="G23" s="64">
        <f>F23*1.27</f>
        <v>0</v>
      </c>
      <c r="H23" s="37"/>
      <c r="I23" s="37"/>
      <c r="J23" s="38"/>
    </row>
    <row r="24" spans="1:10" x14ac:dyDescent="0.25">
      <c r="A24" s="91" t="s">
        <v>17</v>
      </c>
      <c r="B24" s="62"/>
      <c r="C24" s="28"/>
      <c r="D24" s="62">
        <f t="shared" ref="D24:D29" si="4">B24*C24</f>
        <v>0</v>
      </c>
      <c r="E24" s="64">
        <v>0</v>
      </c>
      <c r="F24" s="64">
        <f t="shared" ref="F24:F28" si="5">D24*E24</f>
        <v>0</v>
      </c>
      <c r="G24" s="64">
        <f t="shared" ref="G24:G28" si="6">F24*1.27</f>
        <v>0</v>
      </c>
      <c r="H24" s="37"/>
      <c r="I24" s="37"/>
      <c r="J24" s="38"/>
    </row>
    <row r="25" spans="1:10" x14ac:dyDescent="0.25">
      <c r="A25" s="91" t="s">
        <v>18</v>
      </c>
      <c r="B25" s="62"/>
      <c r="C25" s="28"/>
      <c r="D25" s="62">
        <f t="shared" si="4"/>
        <v>0</v>
      </c>
      <c r="E25" s="64">
        <v>0</v>
      </c>
      <c r="F25" s="64">
        <f t="shared" si="5"/>
        <v>0</v>
      </c>
      <c r="G25" s="64">
        <f t="shared" si="6"/>
        <v>0</v>
      </c>
      <c r="H25" s="37"/>
      <c r="I25" s="37"/>
      <c r="J25" s="38"/>
    </row>
    <row r="26" spans="1:10" x14ac:dyDescent="0.25">
      <c r="A26" s="91" t="s">
        <v>19</v>
      </c>
      <c r="B26" s="62"/>
      <c r="C26" s="28"/>
      <c r="D26" s="62">
        <f t="shared" si="4"/>
        <v>0</v>
      </c>
      <c r="E26" s="64">
        <v>0</v>
      </c>
      <c r="F26" s="64">
        <f t="shared" si="5"/>
        <v>0</v>
      </c>
      <c r="G26" s="64">
        <f t="shared" si="6"/>
        <v>0</v>
      </c>
      <c r="H26" s="37"/>
      <c r="I26" s="37"/>
      <c r="J26" s="38"/>
    </row>
    <row r="27" spans="1:10" x14ac:dyDescent="0.25">
      <c r="A27" s="91" t="s">
        <v>20</v>
      </c>
      <c r="B27" s="62"/>
      <c r="C27" s="28"/>
      <c r="D27" s="62">
        <f t="shared" si="4"/>
        <v>0</v>
      </c>
      <c r="E27" s="64">
        <v>0</v>
      </c>
      <c r="F27" s="64">
        <f t="shared" si="5"/>
        <v>0</v>
      </c>
      <c r="G27" s="64">
        <f t="shared" si="6"/>
        <v>0</v>
      </c>
      <c r="H27" s="37"/>
      <c r="I27" s="37"/>
      <c r="J27" s="38"/>
    </row>
    <row r="28" spans="1:10" x14ac:dyDescent="0.25">
      <c r="A28" s="91" t="s">
        <v>21</v>
      </c>
      <c r="B28" s="62"/>
      <c r="C28" s="28"/>
      <c r="D28" s="62">
        <f t="shared" si="4"/>
        <v>0</v>
      </c>
      <c r="E28" s="64">
        <v>0</v>
      </c>
      <c r="F28" s="64">
        <f t="shared" si="5"/>
        <v>0</v>
      </c>
      <c r="G28" s="64">
        <f t="shared" si="6"/>
        <v>0</v>
      </c>
      <c r="H28" s="37"/>
      <c r="I28" s="37"/>
      <c r="J28" s="38"/>
    </row>
    <row r="29" spans="1:10" x14ac:dyDescent="0.25">
      <c r="A29" s="91" t="s">
        <v>22</v>
      </c>
      <c r="B29" s="62"/>
      <c r="C29" s="28"/>
      <c r="D29" s="62">
        <f t="shared" si="4"/>
        <v>0</v>
      </c>
      <c r="E29" s="64">
        <v>0</v>
      </c>
      <c r="F29" s="64">
        <f>D29*E29</f>
        <v>0</v>
      </c>
      <c r="G29" s="64">
        <f>F29*1.27</f>
        <v>0</v>
      </c>
      <c r="H29" s="37"/>
      <c r="I29" s="37"/>
      <c r="J29" s="38"/>
    </row>
    <row r="30" spans="1:10" x14ac:dyDescent="0.25">
      <c r="A30" s="92"/>
      <c r="B30" s="242" t="s">
        <v>38</v>
      </c>
      <c r="C30" s="243"/>
      <c r="D30" s="57">
        <f>SUM(D23:D29)</f>
        <v>0</v>
      </c>
      <c r="E30" s="64">
        <v>0</v>
      </c>
      <c r="F30" s="59">
        <f>D30*E30</f>
        <v>0</v>
      </c>
      <c r="G30" s="55">
        <f t="shared" ref="G30" si="7">F30*1.27</f>
        <v>0</v>
      </c>
      <c r="H30" s="37"/>
      <c r="I30" s="37"/>
      <c r="J30" s="38"/>
    </row>
    <row r="31" spans="1:10" x14ac:dyDescent="0.25">
      <c r="A31" s="52"/>
      <c r="B31" s="84"/>
      <c r="C31" s="84"/>
      <c r="D31" s="35"/>
      <c r="E31" s="33"/>
      <c r="F31" s="33"/>
      <c r="G31" s="34"/>
      <c r="H31" s="37"/>
      <c r="I31" s="37"/>
      <c r="J31" s="38"/>
    </row>
    <row r="32" spans="1:10" x14ac:dyDescent="0.25">
      <c r="A32" s="236" t="s">
        <v>36</v>
      </c>
      <c r="B32" s="237"/>
      <c r="C32" s="78" t="s">
        <v>82</v>
      </c>
      <c r="D32" s="236" t="s">
        <v>6</v>
      </c>
      <c r="E32" s="237"/>
      <c r="F32" s="79" t="s">
        <v>81</v>
      </c>
      <c r="G32" s="80" t="s">
        <v>37</v>
      </c>
      <c r="H32" s="238" t="s">
        <v>7</v>
      </c>
      <c r="I32" s="239"/>
      <c r="J32" s="38"/>
    </row>
    <row r="33" spans="1:10" ht="31.5" customHeight="1" x14ac:dyDescent="0.25">
      <c r="A33" s="240" t="s">
        <v>131</v>
      </c>
      <c r="B33" s="241"/>
      <c r="C33" s="74"/>
      <c r="D33" s="118"/>
      <c r="E33" s="119"/>
      <c r="F33" s="46"/>
      <c r="G33" s="46"/>
      <c r="H33" s="126">
        <v>500</v>
      </c>
      <c r="I33" s="127"/>
      <c r="J33" s="38"/>
    </row>
    <row r="34" spans="1:10" ht="22.5" x14ac:dyDescent="0.25">
      <c r="A34" s="17"/>
      <c r="B34" s="2" t="s">
        <v>9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14</v>
      </c>
      <c r="H34" s="2" t="s">
        <v>15</v>
      </c>
      <c r="I34" s="37"/>
      <c r="J34" s="38"/>
    </row>
    <row r="35" spans="1:10" x14ac:dyDescent="0.25">
      <c r="A35" s="50" t="s">
        <v>16</v>
      </c>
      <c r="B35" s="24">
        <f>VLOOKUP($A$33,'Trapéz adatok'!$A$2:$B$17,2,FALSE)</f>
        <v>1.18</v>
      </c>
      <c r="C35" s="24"/>
      <c r="D35" s="25"/>
      <c r="E35" s="26">
        <f>B35*C35*D35</f>
        <v>0</v>
      </c>
      <c r="F35" s="3">
        <f>$H$33</f>
        <v>500</v>
      </c>
      <c r="G35" s="3">
        <f>E35*F35</f>
        <v>0</v>
      </c>
      <c r="H35" s="3">
        <f>G35*1.27</f>
        <v>0</v>
      </c>
      <c r="I35" s="37"/>
      <c r="J35" s="38"/>
    </row>
    <row r="36" spans="1:10" x14ac:dyDescent="0.25">
      <c r="A36" s="50" t="s">
        <v>17</v>
      </c>
      <c r="B36" s="24">
        <f>VLOOKUP($A$33,'Trapéz adatok'!$A$2:$B$17,2,FALSE)</f>
        <v>1.18</v>
      </c>
      <c r="C36" s="24"/>
      <c r="D36" s="25"/>
      <c r="E36" s="26">
        <f t="shared" ref="E36:E42" si="8">B36*C36*D36</f>
        <v>0</v>
      </c>
      <c r="F36" s="3">
        <f t="shared" ref="F36:F42" si="9">$H$33</f>
        <v>500</v>
      </c>
      <c r="G36" s="3">
        <f t="shared" ref="G36:G43" si="10">E36*F36</f>
        <v>0</v>
      </c>
      <c r="H36" s="3">
        <f t="shared" ref="H36:H43" si="11">G36*1.27</f>
        <v>0</v>
      </c>
      <c r="I36" s="37"/>
      <c r="J36" s="38"/>
    </row>
    <row r="37" spans="1:10" x14ac:dyDescent="0.25">
      <c r="A37" s="50" t="s">
        <v>18</v>
      </c>
      <c r="B37" s="24">
        <f>VLOOKUP($A$33,'Trapéz adatok'!$A$2:$B$17,2,FALSE)</f>
        <v>1.18</v>
      </c>
      <c r="C37" s="24"/>
      <c r="D37" s="25"/>
      <c r="E37" s="26">
        <f t="shared" si="8"/>
        <v>0</v>
      </c>
      <c r="F37" s="3">
        <f t="shared" si="9"/>
        <v>500</v>
      </c>
      <c r="G37" s="3">
        <f t="shared" si="10"/>
        <v>0</v>
      </c>
      <c r="H37" s="3">
        <f t="shared" si="11"/>
        <v>0</v>
      </c>
      <c r="I37" s="37"/>
      <c r="J37" s="38"/>
    </row>
    <row r="38" spans="1:10" x14ac:dyDescent="0.25">
      <c r="A38" s="50" t="s">
        <v>19</v>
      </c>
      <c r="B38" s="24">
        <f>VLOOKUP($A$33,'Trapéz adatok'!$A$2:$B$17,2,FALSE)</f>
        <v>1.18</v>
      </c>
      <c r="C38" s="24"/>
      <c r="D38" s="25"/>
      <c r="E38" s="26">
        <f t="shared" si="8"/>
        <v>0</v>
      </c>
      <c r="F38" s="3">
        <f t="shared" si="9"/>
        <v>500</v>
      </c>
      <c r="G38" s="3">
        <f t="shared" si="10"/>
        <v>0</v>
      </c>
      <c r="H38" s="3">
        <f t="shared" si="11"/>
        <v>0</v>
      </c>
      <c r="I38" s="37"/>
      <c r="J38" s="38"/>
    </row>
    <row r="39" spans="1:10" x14ac:dyDescent="0.25">
      <c r="A39" s="50" t="s">
        <v>20</v>
      </c>
      <c r="B39" s="24">
        <f>VLOOKUP($A$33,'Trapéz adatok'!$A$2:$B$17,2,FALSE)</f>
        <v>1.18</v>
      </c>
      <c r="C39" s="24"/>
      <c r="D39" s="25"/>
      <c r="E39" s="26">
        <f t="shared" si="8"/>
        <v>0</v>
      </c>
      <c r="F39" s="3">
        <f t="shared" si="9"/>
        <v>500</v>
      </c>
      <c r="G39" s="3">
        <f t="shared" si="10"/>
        <v>0</v>
      </c>
      <c r="H39" s="3">
        <f t="shared" si="11"/>
        <v>0</v>
      </c>
      <c r="I39" s="37"/>
      <c r="J39" s="38"/>
    </row>
    <row r="40" spans="1:10" x14ac:dyDescent="0.25">
      <c r="A40" s="50" t="s">
        <v>21</v>
      </c>
      <c r="B40" s="24">
        <f>VLOOKUP($A$33,'Trapéz adatok'!$A$2:$B$17,2,FALSE)</f>
        <v>1.18</v>
      </c>
      <c r="C40" s="24"/>
      <c r="D40" s="25"/>
      <c r="E40" s="26">
        <f t="shared" si="8"/>
        <v>0</v>
      </c>
      <c r="F40" s="3">
        <f t="shared" si="9"/>
        <v>500</v>
      </c>
      <c r="G40" s="3">
        <f t="shared" si="10"/>
        <v>0</v>
      </c>
      <c r="H40" s="3">
        <f t="shared" si="11"/>
        <v>0</v>
      </c>
      <c r="I40" s="37"/>
      <c r="J40" s="38"/>
    </row>
    <row r="41" spans="1:10" x14ac:dyDescent="0.25">
      <c r="A41" s="50" t="s">
        <v>22</v>
      </c>
      <c r="B41" s="24">
        <f>VLOOKUP($A$33,'Trapéz adatok'!$A$2:$B$17,2,FALSE)</f>
        <v>1.18</v>
      </c>
      <c r="C41" s="24"/>
      <c r="D41" s="25"/>
      <c r="E41" s="26">
        <f t="shared" si="8"/>
        <v>0</v>
      </c>
      <c r="F41" s="3">
        <f t="shared" si="9"/>
        <v>500</v>
      </c>
      <c r="G41" s="3">
        <f t="shared" si="10"/>
        <v>0</v>
      </c>
      <c r="H41" s="3">
        <f t="shared" si="11"/>
        <v>0</v>
      </c>
      <c r="I41" s="37"/>
      <c r="J41" s="38"/>
    </row>
    <row r="42" spans="1:10" x14ac:dyDescent="0.25">
      <c r="A42" s="50" t="s">
        <v>23</v>
      </c>
      <c r="B42" s="24">
        <f>VLOOKUP($A$33,'Trapéz adatok'!$A$2:$B$17,2,FALSE)</f>
        <v>1.18</v>
      </c>
      <c r="C42" s="24"/>
      <c r="D42" s="25"/>
      <c r="E42" s="26">
        <f t="shared" si="8"/>
        <v>0</v>
      </c>
      <c r="F42" s="3">
        <f t="shared" si="9"/>
        <v>500</v>
      </c>
      <c r="G42" s="3">
        <f t="shared" si="10"/>
        <v>0</v>
      </c>
      <c r="H42" s="3">
        <f t="shared" si="11"/>
        <v>0</v>
      </c>
      <c r="I42" s="37"/>
      <c r="J42" s="38"/>
    </row>
    <row r="43" spans="1:10" x14ac:dyDescent="0.25">
      <c r="A43" s="83"/>
      <c r="B43" s="149" t="s">
        <v>38</v>
      </c>
      <c r="C43" s="149"/>
      <c r="D43" s="149"/>
      <c r="E43" s="61">
        <f>SUM(E35:E42)</f>
        <v>0</v>
      </c>
      <c r="F43" s="55"/>
      <c r="G43" s="55">
        <f t="shared" si="10"/>
        <v>0</v>
      </c>
      <c r="H43" s="55">
        <f t="shared" si="11"/>
        <v>0</v>
      </c>
      <c r="I43" s="37"/>
      <c r="J43" s="38"/>
    </row>
    <row r="44" spans="1:10" x14ac:dyDescent="0.25">
      <c r="A44" s="52"/>
      <c r="B44" s="84"/>
      <c r="C44" s="84"/>
      <c r="D44" s="84"/>
      <c r="E44" s="32"/>
      <c r="F44" s="33"/>
      <c r="G44" s="34"/>
      <c r="H44" s="34"/>
      <c r="I44" s="37"/>
      <c r="J44" s="38"/>
    </row>
    <row r="45" spans="1:10" x14ac:dyDescent="0.25">
      <c r="A45" s="52"/>
      <c r="B45" s="84"/>
      <c r="C45" s="84"/>
      <c r="D45" s="84"/>
      <c r="E45" s="32"/>
      <c r="F45" s="33"/>
      <c r="G45" s="34"/>
      <c r="H45" s="34"/>
      <c r="I45" s="37"/>
      <c r="J45" s="38"/>
    </row>
    <row r="46" spans="1:10" x14ac:dyDescent="0.25">
      <c r="A46" s="52"/>
      <c r="B46" s="84"/>
      <c r="C46" s="84"/>
      <c r="D46" s="84"/>
      <c r="E46" s="32"/>
      <c r="F46" s="33"/>
      <c r="G46" s="34"/>
      <c r="H46" s="34"/>
      <c r="I46" s="37"/>
      <c r="J46" s="38"/>
    </row>
    <row r="47" spans="1:10" x14ac:dyDescent="0.25">
      <c r="A47" s="52"/>
      <c r="B47" s="84"/>
      <c r="C47" s="84"/>
      <c r="D47" s="84"/>
      <c r="E47" s="32"/>
      <c r="F47" s="33"/>
      <c r="G47" s="34"/>
      <c r="H47" s="34"/>
      <c r="I47" s="37"/>
      <c r="J47" s="38"/>
    </row>
    <row r="48" spans="1:10" x14ac:dyDescent="0.25">
      <c r="A48" s="52"/>
      <c r="B48" s="84"/>
      <c r="C48" s="84"/>
      <c r="D48" s="84"/>
      <c r="E48" s="32"/>
      <c r="F48" s="33"/>
      <c r="G48" s="34"/>
      <c r="H48" s="34"/>
      <c r="I48" s="37"/>
      <c r="J48" s="38"/>
    </row>
    <row r="49" spans="1:10" x14ac:dyDescent="0.25">
      <c r="A49" s="52"/>
      <c r="B49" s="84"/>
      <c r="C49" s="84"/>
      <c r="D49" s="84"/>
      <c r="E49" s="32"/>
      <c r="F49" s="33"/>
      <c r="G49" s="34"/>
      <c r="H49" s="34"/>
      <c r="I49" s="37"/>
      <c r="J49" s="38"/>
    </row>
    <row r="50" spans="1:10" x14ac:dyDescent="0.25">
      <c r="A50" s="52"/>
      <c r="B50" s="232" t="s">
        <v>39</v>
      </c>
      <c r="C50" s="232"/>
      <c r="D50" s="232"/>
      <c r="E50" s="232"/>
      <c r="F50" s="232"/>
      <c r="G50" s="232"/>
      <c r="H50" s="232"/>
      <c r="I50" s="89"/>
      <c r="J50" s="38"/>
    </row>
    <row r="51" spans="1:10" x14ac:dyDescent="0.25">
      <c r="A51" s="52"/>
      <c r="B51" s="90" t="s">
        <v>40</v>
      </c>
      <c r="C51" s="56" t="s">
        <v>41</v>
      </c>
      <c r="D51" s="172" t="s">
        <v>13</v>
      </c>
      <c r="E51" s="172"/>
      <c r="F51" s="172" t="s">
        <v>14</v>
      </c>
      <c r="G51" s="172"/>
      <c r="H51" s="172" t="s">
        <v>15</v>
      </c>
      <c r="I51" s="172"/>
      <c r="J51" s="38"/>
    </row>
    <row r="52" spans="1:10" x14ac:dyDescent="0.25">
      <c r="A52" s="52"/>
      <c r="B52" s="17" t="s">
        <v>115</v>
      </c>
      <c r="C52" s="27"/>
      <c r="D52" s="176"/>
      <c r="E52" s="177"/>
      <c r="F52" s="176">
        <f t="shared" ref="F52:F56" si="12">C52*D52</f>
        <v>0</v>
      </c>
      <c r="G52" s="177"/>
      <c r="H52" s="176">
        <f t="shared" ref="H52:H57" si="13">F52*1.27</f>
        <v>0</v>
      </c>
      <c r="I52" s="177"/>
      <c r="J52" s="38"/>
    </row>
    <row r="53" spans="1:10" x14ac:dyDescent="0.25">
      <c r="A53" s="52"/>
      <c r="B53" s="17" t="s">
        <v>43</v>
      </c>
      <c r="C53" s="27"/>
      <c r="D53" s="176"/>
      <c r="E53" s="177"/>
      <c r="F53" s="176">
        <f t="shared" si="12"/>
        <v>0</v>
      </c>
      <c r="G53" s="177"/>
      <c r="H53" s="176">
        <f t="shared" si="13"/>
        <v>0</v>
      </c>
      <c r="I53" s="177"/>
      <c r="J53" s="38"/>
    </row>
    <row r="54" spans="1:10" x14ac:dyDescent="0.25">
      <c r="A54" s="52"/>
      <c r="B54" s="17" t="s">
        <v>44</v>
      </c>
      <c r="C54" s="27"/>
      <c r="D54" s="176"/>
      <c r="E54" s="177"/>
      <c r="F54" s="176">
        <f t="shared" si="12"/>
        <v>0</v>
      </c>
      <c r="G54" s="177"/>
      <c r="H54" s="176">
        <f t="shared" si="13"/>
        <v>0</v>
      </c>
      <c r="I54" s="177"/>
      <c r="J54" s="38"/>
    </row>
    <row r="55" spans="1:10" x14ac:dyDescent="0.25">
      <c r="A55" s="52"/>
      <c r="B55" s="17" t="s">
        <v>122</v>
      </c>
      <c r="C55" s="27"/>
      <c r="D55" s="176"/>
      <c r="E55" s="177"/>
      <c r="F55" s="176">
        <f t="shared" si="12"/>
        <v>0</v>
      </c>
      <c r="G55" s="177"/>
      <c r="H55" s="176">
        <f t="shared" si="13"/>
        <v>0</v>
      </c>
      <c r="I55" s="177"/>
      <c r="J55" s="103"/>
    </row>
    <row r="56" spans="1:10" ht="15.75" customHeight="1" x14ac:dyDescent="0.25">
      <c r="A56" s="52"/>
      <c r="B56" s="17" t="s">
        <v>116</v>
      </c>
      <c r="C56" s="27"/>
      <c r="D56" s="176"/>
      <c r="E56" s="177"/>
      <c r="F56" s="176">
        <f t="shared" si="12"/>
        <v>0</v>
      </c>
      <c r="G56" s="177"/>
      <c r="H56" s="176">
        <f t="shared" si="13"/>
        <v>0</v>
      </c>
      <c r="I56" s="177"/>
      <c r="J56" s="102"/>
    </row>
    <row r="57" spans="1:10" x14ac:dyDescent="0.25">
      <c r="A57" s="52"/>
      <c r="B57" s="149" t="s">
        <v>38</v>
      </c>
      <c r="C57" s="149"/>
      <c r="D57" s="149"/>
      <c r="E57" s="149"/>
      <c r="F57" s="204">
        <f>SUM(F52:F56)</f>
        <v>0</v>
      </c>
      <c r="G57" s="204"/>
      <c r="H57" s="204">
        <f t="shared" si="13"/>
        <v>0</v>
      </c>
      <c r="I57" s="204"/>
      <c r="J57" s="101"/>
    </row>
    <row r="58" spans="1:10" ht="19.5" customHeight="1" x14ac:dyDescent="0.25">
      <c r="A58" s="52"/>
      <c r="B58" s="164" t="s">
        <v>55</v>
      </c>
      <c r="C58" s="164"/>
      <c r="D58" s="150">
        <f>F19+F30+F43+F57</f>
        <v>0</v>
      </c>
      <c r="E58" s="151"/>
      <c r="F58" s="165" t="s">
        <v>57</v>
      </c>
      <c r="G58" s="165"/>
      <c r="H58" s="150" t="e">
        <f>#REF!+H57</f>
        <v>#REF!</v>
      </c>
      <c r="I58" s="151"/>
      <c r="J58" s="36"/>
    </row>
    <row r="59" spans="1:10" x14ac:dyDescent="0.25">
      <c r="A59" s="52"/>
      <c r="B59" s="184" t="s">
        <v>56</v>
      </c>
      <c r="C59" s="184"/>
      <c r="D59" s="169"/>
      <c r="E59" s="169"/>
      <c r="F59" s="168"/>
      <c r="G59" s="168"/>
      <c r="H59" s="169"/>
      <c r="I59" s="169"/>
      <c r="J59" s="36"/>
    </row>
    <row r="60" spans="1:10" ht="29.25" customHeight="1" x14ac:dyDescent="0.25">
      <c r="A60" s="226" t="s">
        <v>58</v>
      </c>
      <c r="B60" s="227"/>
      <c r="C60" s="227"/>
      <c r="D60" s="227"/>
      <c r="E60" s="227"/>
      <c r="F60" s="227"/>
      <c r="G60" s="227"/>
      <c r="H60" s="227"/>
      <c r="I60" s="227"/>
      <c r="J60" s="228"/>
    </row>
    <row r="61" spans="1:10" ht="33.75" customHeight="1" x14ac:dyDescent="0.25">
      <c r="A61" s="222" t="s">
        <v>59</v>
      </c>
      <c r="B61" s="223"/>
      <c r="C61" s="223"/>
      <c r="D61" s="223"/>
      <c r="E61" s="223"/>
      <c r="F61" s="224" t="s">
        <v>124</v>
      </c>
      <c r="G61" s="225"/>
      <c r="H61" s="229" t="s">
        <v>166</v>
      </c>
      <c r="I61" s="230"/>
      <c r="J61" s="231"/>
    </row>
    <row r="62" spans="1:10" ht="30" customHeight="1" x14ac:dyDescent="0.25">
      <c r="A62" s="233" t="s">
        <v>93</v>
      </c>
      <c r="B62" s="234"/>
      <c r="C62" s="234"/>
      <c r="D62" s="234"/>
      <c r="E62" s="234"/>
      <c r="F62" s="234"/>
      <c r="G62" s="234"/>
      <c r="H62" s="234"/>
      <c r="I62" s="234"/>
      <c r="J62" s="235"/>
    </row>
    <row r="63" spans="1:10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</row>
    <row r="64" spans="1:10" ht="15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</row>
    <row r="65" spans="1:10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</row>
    <row r="66" spans="1:10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</row>
    <row r="67" spans="1:10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</row>
    <row r="68" spans="1:10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</row>
    <row r="69" spans="1:10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</row>
    <row r="70" spans="1:10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</row>
    <row r="71" spans="1:10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</row>
    <row r="72" spans="1:10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</row>
    <row r="73" spans="1:10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</row>
    <row r="74" spans="1:10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</row>
    <row r="75" spans="1:10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</row>
    <row r="76" spans="1:10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</row>
    <row r="77" spans="1:10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</row>
    <row r="78" spans="1:10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</row>
    <row r="79" spans="1:10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</row>
    <row r="80" spans="1:10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</row>
    <row r="81" spans="1:10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</row>
    <row r="82" spans="1:10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</row>
    <row r="83" spans="1:10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</row>
    <row r="84" spans="1:10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</row>
    <row r="85" spans="1:10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</row>
    <row r="86" spans="1:10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</row>
    <row r="87" spans="1:10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</row>
    <row r="88" spans="1:10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</row>
    <row r="89" spans="1:10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</row>
    <row r="90" spans="1:10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</row>
    <row r="91" spans="1:10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</row>
    <row r="92" spans="1:10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</row>
    <row r="93" spans="1:10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</row>
    <row r="94" spans="1:10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</row>
    <row r="95" spans="1:10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</row>
    <row r="96" spans="1:10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</row>
    <row r="97" spans="1:10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</row>
    <row r="98" spans="1:10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</row>
    <row r="99" spans="1:10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</row>
    <row r="100" spans="1:10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</row>
    <row r="101" spans="1:10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</row>
    <row r="102" spans="1:10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</row>
    <row r="103" spans="1:10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</row>
    <row r="104" spans="1:10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</row>
    <row r="105" spans="1:10" x14ac:dyDescent="0.25">
      <c r="A105" s="31"/>
      <c r="B105" s="31"/>
      <c r="C105" s="31"/>
      <c r="D105" s="31"/>
      <c r="E105" s="31"/>
      <c r="F105" s="31"/>
      <c r="G105" s="31"/>
      <c r="H105" s="31"/>
      <c r="I105" s="31"/>
    </row>
    <row r="106" spans="1:10" x14ac:dyDescent="0.25">
      <c r="A106" s="31"/>
      <c r="B106" s="31"/>
      <c r="C106" s="31"/>
      <c r="D106" s="31"/>
      <c r="E106" s="31"/>
      <c r="F106" s="31"/>
      <c r="G106" s="31"/>
      <c r="H106" s="31"/>
      <c r="I106" s="31"/>
    </row>
    <row r="107" spans="1:10" x14ac:dyDescent="0.25">
      <c r="A107" s="31"/>
      <c r="B107" s="31"/>
      <c r="C107" s="31"/>
      <c r="D107" s="31"/>
      <c r="E107" s="31"/>
      <c r="F107" s="31"/>
      <c r="G107" s="31"/>
      <c r="H107" s="31"/>
      <c r="I107" s="31"/>
    </row>
    <row r="108" spans="1:10" x14ac:dyDescent="0.25">
      <c r="A108" s="31"/>
      <c r="B108" s="31"/>
      <c r="C108" s="31"/>
      <c r="D108" s="31"/>
      <c r="E108" s="31"/>
      <c r="F108" s="31"/>
      <c r="G108" s="31"/>
      <c r="H108" s="31"/>
      <c r="I108" s="31"/>
    </row>
    <row r="109" spans="1:10" x14ac:dyDescent="0.25">
      <c r="A109" s="31"/>
      <c r="B109" s="31"/>
      <c r="C109" s="31"/>
      <c r="D109" s="31"/>
      <c r="E109" s="31"/>
      <c r="F109" s="31"/>
      <c r="G109" s="31"/>
      <c r="H109" s="31"/>
      <c r="I109" s="31"/>
    </row>
    <row r="110" spans="1:10" x14ac:dyDescent="0.25">
      <c r="A110" s="31"/>
      <c r="B110" s="31"/>
      <c r="C110" s="31"/>
      <c r="D110" s="31"/>
      <c r="E110" s="31"/>
      <c r="F110" s="31"/>
      <c r="G110" s="31"/>
      <c r="H110" s="31"/>
      <c r="I110" s="31"/>
    </row>
    <row r="111" spans="1:10" x14ac:dyDescent="0.25">
      <c r="A111" s="31"/>
      <c r="B111" s="31"/>
      <c r="C111" s="31"/>
      <c r="D111" s="31"/>
      <c r="E111" s="31"/>
      <c r="F111" s="31"/>
      <c r="G111" s="31"/>
      <c r="H111" s="31"/>
      <c r="I111" s="31"/>
    </row>
  </sheetData>
  <mergeCells count="57">
    <mergeCell ref="A62:J62"/>
    <mergeCell ref="A1:B2"/>
    <mergeCell ref="F1:G1"/>
    <mergeCell ref="F2:G2"/>
    <mergeCell ref="A3:B3"/>
    <mergeCell ref="C3:E3"/>
    <mergeCell ref="F3:G3"/>
    <mergeCell ref="J8:J9"/>
    <mergeCell ref="A32:B32"/>
    <mergeCell ref="D32:E32"/>
    <mergeCell ref="H32:I32"/>
    <mergeCell ref="A33:B33"/>
    <mergeCell ref="D33:E33"/>
    <mergeCell ref="H33:I33"/>
    <mergeCell ref="A21:G21"/>
    <mergeCell ref="B30:C30"/>
    <mergeCell ref="B43:D43"/>
    <mergeCell ref="B50:H50"/>
    <mergeCell ref="D51:E51"/>
    <mergeCell ref="F51:G51"/>
    <mergeCell ref="H51:I51"/>
    <mergeCell ref="D52:E52"/>
    <mergeCell ref="F52:G52"/>
    <mergeCell ref="H52:I52"/>
    <mergeCell ref="D53:E53"/>
    <mergeCell ref="F53:G53"/>
    <mergeCell ref="H53:I53"/>
    <mergeCell ref="D54:E54"/>
    <mergeCell ref="F54:G54"/>
    <mergeCell ref="H54:I54"/>
    <mergeCell ref="D55:E55"/>
    <mergeCell ref="F55:G55"/>
    <mergeCell ref="H55:I55"/>
    <mergeCell ref="D56:E56"/>
    <mergeCell ref="F56:G56"/>
    <mergeCell ref="H56:I56"/>
    <mergeCell ref="B57:E57"/>
    <mergeCell ref="F57:G57"/>
    <mergeCell ref="H57:I57"/>
    <mergeCell ref="A61:E61"/>
    <mergeCell ref="F61:G61"/>
    <mergeCell ref="B58:C58"/>
    <mergeCell ref="D58:E59"/>
    <mergeCell ref="F58:G59"/>
    <mergeCell ref="A60:J60"/>
    <mergeCell ref="H61:J61"/>
    <mergeCell ref="H58:I59"/>
    <mergeCell ref="B59:C59"/>
    <mergeCell ref="B19:C19"/>
    <mergeCell ref="F4:G4"/>
    <mergeCell ref="H4:I4"/>
    <mergeCell ref="A5:B5"/>
    <mergeCell ref="D5:E5"/>
    <mergeCell ref="F5:G5"/>
    <mergeCell ref="H5:I5"/>
    <mergeCell ref="A4:B4"/>
    <mergeCell ref="D4:E4"/>
  </mergeCells>
  <pageMargins left="0.25" right="0.25" top="0.75" bottom="0.75" header="0.3" footer="0.3"/>
  <pageSetup paperSize="9" fitToWidth="0" fitToHeight="0" orientation="portrait" r:id="rId1"/>
  <headerFooter>
    <oddHeader>&amp;L&amp;G&amp;C&amp;"Ubuntu,Félkövér"&amp;16&amp;KC00000AJÁNLATKÉRŐ LAP
&amp;10&amp;UAz ár érvényesség ideje 1 nap.&amp;R&amp;10Áraink &amp;"Ubuntu,Félkövér"nettó &amp;"Ubuntu,Normál"árak az 
&amp;"Ubuntu,Félkövér"ÁFÁ-t &amp;12nem&amp;"Ubuntu,Normál" &amp;10tartalmazzák</oddHeader>
    <oddFooter>&amp;Linfo@nyiregyhazalemezkereskedes.hu&amp;C&amp;10+36-30/203-07-19
+36-30/326-73-33
+36-30/203-09-19&amp;RNyitvatartás:
Hétfőtől - Péntekig 7:30 - 16:30
Szombat 7:30 - 12:30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E7868BCD-0B4C-41F4-B24F-5E886DCAB96B}">
          <x14:formula1>
            <xm:f>'Cserepes adatok'!$H$2:$H$3</xm:f>
          </x14:formula1>
          <xm:sqref>G33</xm:sqref>
        </x14:dataValidation>
        <x14:dataValidation type="list" allowBlank="1" showInputMessage="1" showErrorMessage="1" xr:uid="{672D68F1-064A-4C0E-9F27-90997D120810}">
          <x14:formula1>
            <xm:f>'Trapéz adatok'!$D$2:$D$7</xm:f>
          </x14:formula1>
          <xm:sqref>F33</xm:sqref>
        </x14:dataValidation>
        <x14:dataValidation type="list" allowBlank="1" showInputMessage="1" showErrorMessage="1" xr:uid="{62B7B613-E362-433E-A9F0-760665446002}">
          <x14:formula1>
            <xm:f>'Trapéz adatok'!$F$2:$F$9</xm:f>
          </x14:formula1>
          <xm:sqref>D5:E5</xm:sqref>
        </x14:dataValidation>
        <x14:dataValidation type="list" allowBlank="1" showInputMessage="1" showErrorMessage="1" xr:uid="{F8B91747-63B0-4E7E-87D1-35753F05FED9}">
          <x14:formula1>
            <xm:f>Keritésadatok!$A$2:$A$10</xm:f>
          </x14:formula1>
          <xm:sqref>A5:B5</xm:sqref>
        </x14:dataValidation>
        <x14:dataValidation type="list" allowBlank="1" showInputMessage="1" showErrorMessage="1" xr:uid="{C931C683-9785-4DBB-AC3E-30254EF01705}">
          <x14:formula1>
            <xm:f>'Trapéz adatok'!$A$2:$A$17</xm:f>
          </x14:formula1>
          <xm:sqref>A33:B33</xm:sqref>
        </x14:dataValidation>
        <x14:dataValidation type="list" allowBlank="1" showInputMessage="1" showErrorMessage="1" xr:uid="{23724DC1-6F41-4FA9-9039-E5E4C1127FDD}">
          <x14:formula1>
            <xm:f>'Trapéz adatok'!$J$2:$J$32</xm:f>
          </x14:formula1>
          <xm:sqref>C5</xm:sqref>
        </x14:dataValidation>
        <x14:dataValidation type="list" allowBlank="1" showInputMessage="1" showErrorMessage="1" xr:uid="{0C512403-B198-46BA-9D9E-7DBADA8FFD1E}">
          <x14:formula1>
            <xm:f>'Trapéz adatok'!$J$2:$J$34</xm:f>
          </x14:formula1>
          <xm:sqref>C33</xm:sqref>
        </x14:dataValidation>
        <x14:dataValidation type="list" allowBlank="1" showInputMessage="1" showErrorMessage="1" xr:uid="{2F691A54-AF71-44C8-947A-9FEA3A2E6A74}">
          <x14:formula1>
            <xm:f>'Trapéz adatok'!$F$2:$F$14</xm:f>
          </x14:formula1>
          <xm:sqref>D33:E33</xm:sqref>
        </x14:dataValidation>
        <x14:dataValidation type="list" allowBlank="1" showInputMessage="1" showErrorMessage="1" xr:uid="{6DA1869A-BC6C-48D8-9730-9B0E36FC3A1C}">
          <x14:formula1>
            <xm:f>Keritésadatok!$C$5:$C$12</xm:f>
          </x14:formula1>
          <xm:sqref>F5:G5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809A-0E9D-4182-A660-C422C7F65944}">
  <sheetPr>
    <tabColor rgb="FFFF99CC"/>
  </sheetPr>
  <dimension ref="A1:J98"/>
  <sheetViews>
    <sheetView view="pageLayout" topLeftCell="A31" zoomScaleNormal="100" workbookViewId="0">
      <selection activeCell="B7" sqref="B7"/>
    </sheetView>
  </sheetViews>
  <sheetFormatPr defaultRowHeight="15.75" x14ac:dyDescent="0.25"/>
  <cols>
    <col min="1" max="1" width="3" bestFit="1" customWidth="1"/>
    <col min="2" max="2" width="12" bestFit="1" customWidth="1"/>
    <col min="3" max="3" width="9.25" customWidth="1"/>
    <col min="4" max="4" width="8" customWidth="1"/>
    <col min="7" max="8" width="10.5" customWidth="1"/>
  </cols>
  <sheetData>
    <row r="1" spans="1:10" ht="19.5" customHeight="1" x14ac:dyDescent="0.25">
      <c r="A1" s="108" t="s">
        <v>52</v>
      </c>
      <c r="B1" s="108"/>
      <c r="C1" s="37"/>
      <c r="D1" s="37"/>
      <c r="E1" s="38"/>
      <c r="F1" s="108" t="s">
        <v>0</v>
      </c>
      <c r="G1" s="108"/>
      <c r="H1" s="40"/>
      <c r="I1" s="40"/>
      <c r="J1" s="40"/>
    </row>
    <row r="2" spans="1:10" ht="17.25" customHeight="1" x14ac:dyDescent="0.25">
      <c r="A2" s="109"/>
      <c r="B2" s="109"/>
      <c r="C2" s="70"/>
      <c r="D2" s="81"/>
      <c r="E2" s="82"/>
      <c r="F2" s="108" t="s">
        <v>1</v>
      </c>
      <c r="G2" s="108"/>
      <c r="H2" s="42"/>
      <c r="I2" s="42"/>
      <c r="J2" s="40"/>
    </row>
    <row r="3" spans="1:10" ht="19.5" customHeight="1" x14ac:dyDescent="0.25">
      <c r="A3" s="110" t="s">
        <v>53</v>
      </c>
      <c r="B3" s="110"/>
      <c r="C3" s="4"/>
      <c r="D3" s="40"/>
      <c r="E3" s="82"/>
      <c r="F3" s="109" t="s">
        <v>2</v>
      </c>
      <c r="G3" s="109"/>
      <c r="H3" s="44"/>
      <c r="I3" s="44"/>
      <c r="J3" s="44"/>
    </row>
    <row r="4" spans="1:10" x14ac:dyDescent="0.25">
      <c r="A4" s="111" t="s">
        <v>94</v>
      </c>
      <c r="B4" s="111"/>
      <c r="C4" s="75" t="s">
        <v>82</v>
      </c>
      <c r="D4" s="111" t="s">
        <v>6</v>
      </c>
      <c r="E4" s="111"/>
      <c r="F4" s="112" t="s">
        <v>95</v>
      </c>
      <c r="G4" s="113"/>
      <c r="H4" s="116" t="s">
        <v>7</v>
      </c>
      <c r="I4" s="116"/>
      <c r="J4" s="45" t="s">
        <v>3</v>
      </c>
    </row>
    <row r="5" spans="1:10" ht="30.75" customHeight="1" x14ac:dyDescent="0.25">
      <c r="A5" s="117"/>
      <c r="B5" s="117"/>
      <c r="C5" s="74"/>
      <c r="D5" s="118"/>
      <c r="E5" s="119"/>
      <c r="F5" s="118"/>
      <c r="G5" s="119"/>
      <c r="H5" s="126"/>
      <c r="I5" s="127"/>
      <c r="J5" s="48"/>
    </row>
    <row r="6" spans="1:10" ht="30" x14ac:dyDescent="0.25">
      <c r="A6" s="17"/>
      <c r="B6" s="73" t="s">
        <v>10</v>
      </c>
      <c r="C6" s="73" t="s">
        <v>11</v>
      </c>
      <c r="D6" s="73" t="s">
        <v>164</v>
      </c>
      <c r="E6" s="73" t="s">
        <v>13</v>
      </c>
      <c r="F6" s="73" t="s">
        <v>14</v>
      </c>
      <c r="G6" s="73" t="s">
        <v>15</v>
      </c>
      <c r="H6" s="37"/>
      <c r="I6" s="37"/>
      <c r="J6" s="49" t="s">
        <v>4</v>
      </c>
    </row>
    <row r="7" spans="1:10" x14ac:dyDescent="0.25">
      <c r="A7" s="17" t="s">
        <v>16</v>
      </c>
      <c r="B7" s="62"/>
      <c r="C7" s="58"/>
      <c r="D7" s="57">
        <f>B7*C7</f>
        <v>0</v>
      </c>
      <c r="E7" s="59">
        <f>$H$5</f>
        <v>0</v>
      </c>
      <c r="F7" s="59">
        <f>D7*E7</f>
        <v>0</v>
      </c>
      <c r="G7" s="59">
        <f>F7*1.27</f>
        <v>0</v>
      </c>
      <c r="H7" s="86"/>
      <c r="I7" s="37"/>
      <c r="J7" s="51" t="s">
        <v>5</v>
      </c>
    </row>
    <row r="8" spans="1:10" x14ac:dyDescent="0.25">
      <c r="A8" s="17" t="s">
        <v>17</v>
      </c>
      <c r="B8" s="57"/>
      <c r="C8" s="58"/>
      <c r="D8" s="57">
        <f t="shared" ref="D8:D21" si="0">B8*C8</f>
        <v>0</v>
      </c>
      <c r="E8" s="59">
        <f t="shared" ref="E8:E22" si="1">$H$5</f>
        <v>0</v>
      </c>
      <c r="F8" s="59">
        <f t="shared" ref="F8:F21" si="2">D8*E8</f>
        <v>0</v>
      </c>
      <c r="G8" s="59">
        <f t="shared" ref="G8:G22" si="3">F8*1.27</f>
        <v>0</v>
      </c>
      <c r="H8" s="86"/>
      <c r="I8" s="37"/>
      <c r="J8" s="106"/>
    </row>
    <row r="9" spans="1:10" x14ac:dyDescent="0.25">
      <c r="A9" s="17" t="s">
        <v>18</v>
      </c>
      <c r="B9" s="57"/>
      <c r="C9" s="58"/>
      <c r="D9" s="57">
        <f t="shared" si="0"/>
        <v>0</v>
      </c>
      <c r="E9" s="59">
        <f t="shared" si="1"/>
        <v>0</v>
      </c>
      <c r="F9" s="59">
        <f t="shared" si="2"/>
        <v>0</v>
      </c>
      <c r="G9" s="59">
        <f t="shared" si="3"/>
        <v>0</v>
      </c>
      <c r="H9" s="86"/>
      <c r="I9" s="37"/>
      <c r="J9" s="107"/>
    </row>
    <row r="10" spans="1:10" x14ac:dyDescent="0.25">
      <c r="A10" s="17" t="s">
        <v>19</v>
      </c>
      <c r="B10" s="57"/>
      <c r="C10" s="58"/>
      <c r="D10" s="57">
        <f t="shared" si="0"/>
        <v>0</v>
      </c>
      <c r="E10" s="59">
        <f t="shared" si="1"/>
        <v>0</v>
      </c>
      <c r="F10" s="59">
        <f t="shared" si="2"/>
        <v>0</v>
      </c>
      <c r="G10" s="59">
        <f t="shared" si="3"/>
        <v>0</v>
      </c>
      <c r="H10" s="86"/>
      <c r="I10" s="37"/>
      <c r="J10" s="38"/>
    </row>
    <row r="11" spans="1:10" x14ac:dyDescent="0.25">
      <c r="A11" s="17" t="s">
        <v>20</v>
      </c>
      <c r="B11" s="57"/>
      <c r="C11" s="58"/>
      <c r="D11" s="57">
        <f t="shared" si="0"/>
        <v>0</v>
      </c>
      <c r="E11" s="59">
        <f t="shared" si="1"/>
        <v>0</v>
      </c>
      <c r="F11" s="59">
        <f t="shared" si="2"/>
        <v>0</v>
      </c>
      <c r="G11" s="59">
        <f t="shared" si="3"/>
        <v>0</v>
      </c>
      <c r="H11" s="86"/>
      <c r="I11" s="37"/>
      <c r="J11" s="38"/>
    </row>
    <row r="12" spans="1:10" x14ac:dyDescent="0.25">
      <c r="A12" s="17" t="s">
        <v>21</v>
      </c>
      <c r="B12" s="57"/>
      <c r="C12" s="58"/>
      <c r="D12" s="57">
        <f t="shared" si="0"/>
        <v>0</v>
      </c>
      <c r="E12" s="59">
        <f t="shared" si="1"/>
        <v>0</v>
      </c>
      <c r="F12" s="59">
        <f t="shared" si="2"/>
        <v>0</v>
      </c>
      <c r="G12" s="59">
        <f t="shared" si="3"/>
        <v>0</v>
      </c>
      <c r="H12" s="86"/>
      <c r="I12" s="37"/>
      <c r="J12" s="38"/>
    </row>
    <row r="13" spans="1:10" x14ac:dyDescent="0.25">
      <c r="A13" s="17" t="s">
        <v>22</v>
      </c>
      <c r="B13" s="57"/>
      <c r="C13" s="58"/>
      <c r="D13" s="57">
        <f t="shared" si="0"/>
        <v>0</v>
      </c>
      <c r="E13" s="59">
        <f t="shared" si="1"/>
        <v>0</v>
      </c>
      <c r="F13" s="59">
        <f t="shared" si="2"/>
        <v>0</v>
      </c>
      <c r="G13" s="59">
        <f t="shared" si="3"/>
        <v>0</v>
      </c>
      <c r="H13" s="87"/>
      <c r="I13" s="37"/>
      <c r="J13" s="38"/>
    </row>
    <row r="14" spans="1:10" x14ac:dyDescent="0.25">
      <c r="A14" s="17" t="s">
        <v>23</v>
      </c>
      <c r="B14" s="57"/>
      <c r="C14" s="58"/>
      <c r="D14" s="57">
        <f t="shared" si="0"/>
        <v>0</v>
      </c>
      <c r="E14" s="59">
        <f t="shared" si="1"/>
        <v>0</v>
      </c>
      <c r="F14" s="59">
        <f t="shared" si="2"/>
        <v>0</v>
      </c>
      <c r="G14" s="59">
        <f t="shared" si="3"/>
        <v>0</v>
      </c>
      <c r="H14" s="37"/>
      <c r="I14" s="37"/>
      <c r="J14" s="38"/>
    </row>
    <row r="15" spans="1:10" x14ac:dyDescent="0.25">
      <c r="A15" s="17" t="s">
        <v>24</v>
      </c>
      <c r="B15" s="57"/>
      <c r="C15" s="58"/>
      <c r="D15" s="57">
        <f t="shared" si="0"/>
        <v>0</v>
      </c>
      <c r="E15" s="59">
        <f t="shared" si="1"/>
        <v>0</v>
      </c>
      <c r="F15" s="59">
        <f t="shared" si="2"/>
        <v>0</v>
      </c>
      <c r="G15" s="59">
        <f t="shared" si="3"/>
        <v>0</v>
      </c>
      <c r="H15" s="37"/>
      <c r="I15" s="37"/>
      <c r="J15" s="38"/>
    </row>
    <row r="16" spans="1:10" x14ac:dyDescent="0.25">
      <c r="A16" s="17" t="s">
        <v>25</v>
      </c>
      <c r="B16" s="57"/>
      <c r="C16" s="58"/>
      <c r="D16" s="57">
        <f t="shared" si="0"/>
        <v>0</v>
      </c>
      <c r="E16" s="59">
        <f t="shared" si="1"/>
        <v>0</v>
      </c>
      <c r="F16" s="59">
        <f t="shared" si="2"/>
        <v>0</v>
      </c>
      <c r="G16" s="59">
        <f t="shared" si="3"/>
        <v>0</v>
      </c>
      <c r="H16" s="37"/>
      <c r="I16" s="37"/>
      <c r="J16" s="38"/>
    </row>
    <row r="17" spans="1:10" x14ac:dyDescent="0.25">
      <c r="A17" s="17" t="s">
        <v>26</v>
      </c>
      <c r="B17" s="57"/>
      <c r="C17" s="58"/>
      <c r="D17" s="57">
        <f t="shared" si="0"/>
        <v>0</v>
      </c>
      <c r="E17" s="59">
        <f t="shared" si="1"/>
        <v>0</v>
      </c>
      <c r="F17" s="59">
        <f t="shared" si="2"/>
        <v>0</v>
      </c>
      <c r="G17" s="59">
        <f t="shared" si="3"/>
        <v>0</v>
      </c>
      <c r="H17" s="37"/>
      <c r="I17" s="37"/>
      <c r="J17" s="38"/>
    </row>
    <row r="18" spans="1:10" x14ac:dyDescent="0.25">
      <c r="A18" s="17" t="s">
        <v>27</v>
      </c>
      <c r="B18" s="57"/>
      <c r="C18" s="58"/>
      <c r="D18" s="57">
        <f t="shared" si="0"/>
        <v>0</v>
      </c>
      <c r="E18" s="59">
        <f t="shared" si="1"/>
        <v>0</v>
      </c>
      <c r="F18" s="59">
        <f t="shared" si="2"/>
        <v>0</v>
      </c>
      <c r="G18" s="59">
        <f t="shared" si="3"/>
        <v>0</v>
      </c>
      <c r="H18" s="37"/>
      <c r="I18" s="37"/>
      <c r="J18" s="38"/>
    </row>
    <row r="19" spans="1:10" x14ac:dyDescent="0.25">
      <c r="A19" s="17" t="s">
        <v>28</v>
      </c>
      <c r="B19" s="57"/>
      <c r="C19" s="58"/>
      <c r="D19" s="57">
        <f t="shared" si="0"/>
        <v>0</v>
      </c>
      <c r="E19" s="59">
        <f t="shared" si="1"/>
        <v>0</v>
      </c>
      <c r="F19" s="59">
        <f t="shared" si="2"/>
        <v>0</v>
      </c>
      <c r="G19" s="59">
        <f t="shared" si="3"/>
        <v>0</v>
      </c>
      <c r="H19" s="37"/>
      <c r="I19" s="37"/>
      <c r="J19" s="38"/>
    </row>
    <row r="20" spans="1:10" x14ac:dyDescent="0.25">
      <c r="A20" s="17" t="s">
        <v>29</v>
      </c>
      <c r="B20" s="57"/>
      <c r="C20" s="58"/>
      <c r="D20" s="57">
        <f t="shared" si="0"/>
        <v>0</v>
      </c>
      <c r="E20" s="59">
        <f t="shared" si="1"/>
        <v>0</v>
      </c>
      <c r="F20" s="59">
        <f t="shared" si="2"/>
        <v>0</v>
      </c>
      <c r="G20" s="59">
        <f t="shared" si="3"/>
        <v>0</v>
      </c>
      <c r="H20" s="37"/>
      <c r="I20" s="37"/>
      <c r="J20" s="38"/>
    </row>
    <row r="21" spans="1:10" x14ac:dyDescent="0.25">
      <c r="A21" s="17" t="s">
        <v>30</v>
      </c>
      <c r="B21" s="57"/>
      <c r="C21" s="58"/>
      <c r="D21" s="57">
        <f t="shared" si="0"/>
        <v>0</v>
      </c>
      <c r="E21" s="59">
        <f t="shared" si="1"/>
        <v>0</v>
      </c>
      <c r="F21" s="59">
        <f t="shared" si="2"/>
        <v>0</v>
      </c>
      <c r="G21" s="59">
        <f t="shared" si="3"/>
        <v>0</v>
      </c>
      <c r="H21" s="37"/>
      <c r="I21" s="37"/>
      <c r="J21" s="38"/>
    </row>
    <row r="22" spans="1:10" x14ac:dyDescent="0.25">
      <c r="A22" s="52"/>
      <c r="B22" s="114" t="s">
        <v>38</v>
      </c>
      <c r="C22" s="115"/>
      <c r="D22" s="104">
        <f>SUM(D7:D21)</f>
        <v>0</v>
      </c>
      <c r="E22" s="99">
        <f t="shared" si="1"/>
        <v>0</v>
      </c>
      <c r="F22" s="99">
        <f>SUM(F7:F21)</f>
        <v>0</v>
      </c>
      <c r="G22" s="99">
        <f t="shared" si="3"/>
        <v>0</v>
      </c>
      <c r="H22" s="37"/>
      <c r="I22" s="37"/>
      <c r="J22" s="38"/>
    </row>
    <row r="23" spans="1:10" x14ac:dyDescent="0.25">
      <c r="A23" s="128" t="s">
        <v>114</v>
      </c>
      <c r="B23" s="129"/>
      <c r="C23" s="129"/>
      <c r="D23" s="129"/>
      <c r="E23" s="129"/>
      <c r="F23" s="129"/>
      <c r="G23" s="130"/>
      <c r="H23" s="37"/>
      <c r="I23" s="37"/>
      <c r="J23" s="38"/>
    </row>
    <row r="24" spans="1:10" ht="30" x14ac:dyDescent="0.25">
      <c r="A24" s="17"/>
      <c r="B24" s="73" t="s">
        <v>10</v>
      </c>
      <c r="C24" s="73" t="s">
        <v>11</v>
      </c>
      <c r="D24" s="73" t="s">
        <v>112</v>
      </c>
      <c r="E24" s="73" t="s">
        <v>13</v>
      </c>
      <c r="F24" s="73" t="s">
        <v>14</v>
      </c>
      <c r="G24" s="73" t="s">
        <v>15</v>
      </c>
      <c r="H24" s="37"/>
      <c r="I24" s="37"/>
      <c r="J24" s="38"/>
    </row>
    <row r="25" spans="1:10" x14ac:dyDescent="0.25">
      <c r="A25" s="17" t="s">
        <v>16</v>
      </c>
      <c r="B25" s="57"/>
      <c r="C25" s="58"/>
      <c r="D25" s="57">
        <f>B25*C25</f>
        <v>0</v>
      </c>
      <c r="E25" s="59">
        <v>1800</v>
      </c>
      <c r="F25" s="59">
        <f>D25*E25</f>
        <v>0</v>
      </c>
      <c r="G25" s="59">
        <f>F25*1.27</f>
        <v>0</v>
      </c>
      <c r="H25" s="93"/>
      <c r="I25" s="93"/>
      <c r="J25" s="94"/>
    </row>
    <row r="26" spans="1:10" ht="15.75" customHeight="1" x14ac:dyDescent="0.25">
      <c r="A26" s="17" t="s">
        <v>17</v>
      </c>
      <c r="B26" s="57"/>
      <c r="C26" s="58"/>
      <c r="D26" s="57">
        <f t="shared" ref="D26:D31" si="4">B26*C26</f>
        <v>0</v>
      </c>
      <c r="E26" s="59">
        <v>1800</v>
      </c>
      <c r="F26" s="59">
        <f t="shared" ref="F26:F30" si="5">D26*E26</f>
        <v>0</v>
      </c>
      <c r="G26" s="59">
        <f t="shared" ref="G26:G30" si="6">F26*1.27</f>
        <v>0</v>
      </c>
      <c r="H26" s="95"/>
      <c r="I26" s="96"/>
      <c r="J26" s="97"/>
    </row>
    <row r="27" spans="1:10" ht="15.75" customHeight="1" x14ac:dyDescent="0.25">
      <c r="A27" s="17" t="s">
        <v>18</v>
      </c>
      <c r="B27" s="57"/>
      <c r="C27" s="58"/>
      <c r="D27" s="57">
        <f t="shared" si="4"/>
        <v>0</v>
      </c>
      <c r="E27" s="59">
        <v>1800</v>
      </c>
      <c r="F27" s="59">
        <f t="shared" si="5"/>
        <v>0</v>
      </c>
      <c r="G27" s="59">
        <f t="shared" si="6"/>
        <v>0</v>
      </c>
      <c r="H27" s="37"/>
      <c r="I27" s="37"/>
      <c r="J27" s="38"/>
    </row>
    <row r="28" spans="1:10" ht="15.75" customHeight="1" thickBot="1" x14ac:dyDescent="0.3">
      <c r="A28" s="17" t="s">
        <v>19</v>
      </c>
      <c r="B28" s="57"/>
      <c r="C28" s="58"/>
      <c r="D28" s="57">
        <f t="shared" si="4"/>
        <v>0</v>
      </c>
      <c r="E28" s="59">
        <v>1800</v>
      </c>
      <c r="F28" s="59">
        <f t="shared" si="5"/>
        <v>0</v>
      </c>
      <c r="G28" s="59">
        <f t="shared" si="6"/>
        <v>0</v>
      </c>
      <c r="H28" s="37"/>
      <c r="I28" s="37"/>
      <c r="J28" s="38"/>
    </row>
    <row r="29" spans="1:10" ht="15.75" customHeight="1" x14ac:dyDescent="0.25">
      <c r="A29" s="17" t="s">
        <v>20</v>
      </c>
      <c r="B29" s="57"/>
      <c r="C29" s="58"/>
      <c r="D29" s="57">
        <f t="shared" si="4"/>
        <v>0</v>
      </c>
      <c r="E29" s="59">
        <v>1800</v>
      </c>
      <c r="F29" s="59">
        <f t="shared" si="5"/>
        <v>0</v>
      </c>
      <c r="G29" s="59">
        <f t="shared" si="6"/>
        <v>0</v>
      </c>
      <c r="H29" s="131" t="s">
        <v>124</v>
      </c>
      <c r="I29" s="131"/>
      <c r="J29" s="38"/>
    </row>
    <row r="30" spans="1:10" ht="16.5" customHeight="1" thickBot="1" x14ac:dyDescent="0.3">
      <c r="A30" s="17" t="s">
        <v>21</v>
      </c>
      <c r="B30" s="57"/>
      <c r="C30" s="58"/>
      <c r="D30" s="57">
        <f t="shared" si="4"/>
        <v>0</v>
      </c>
      <c r="E30" s="59">
        <v>1800</v>
      </c>
      <c r="F30" s="59">
        <f t="shared" si="5"/>
        <v>0</v>
      </c>
      <c r="G30" s="59">
        <f t="shared" si="6"/>
        <v>0</v>
      </c>
      <c r="H30" s="132"/>
      <c r="I30" s="132"/>
      <c r="J30" s="98"/>
    </row>
    <row r="31" spans="1:10" ht="15.75" customHeight="1" x14ac:dyDescent="0.25">
      <c r="A31" s="17" t="s">
        <v>22</v>
      </c>
      <c r="B31" s="57"/>
      <c r="C31" s="58"/>
      <c r="D31" s="57">
        <f t="shared" si="4"/>
        <v>0</v>
      </c>
      <c r="E31" s="59">
        <v>1800</v>
      </c>
      <c r="F31" s="59">
        <f>D31*E31</f>
        <v>0</v>
      </c>
      <c r="G31" s="59">
        <f>F31*1.27</f>
        <v>0</v>
      </c>
      <c r="H31" s="156" t="s">
        <v>165</v>
      </c>
      <c r="I31" s="157"/>
      <c r="J31" s="158"/>
    </row>
    <row r="32" spans="1:10" ht="16.5" thickBot="1" x14ac:dyDescent="0.3">
      <c r="A32" s="52"/>
      <c r="B32" s="114" t="s">
        <v>38</v>
      </c>
      <c r="C32" s="115"/>
      <c r="D32" s="104">
        <f>SUM(D25:D31)</f>
        <v>0</v>
      </c>
      <c r="E32" s="55">
        <v>1800</v>
      </c>
      <c r="F32" s="55">
        <f>D32*E32</f>
        <v>0</v>
      </c>
      <c r="G32" s="55">
        <f t="shared" ref="G32" si="7">F32*1.27</f>
        <v>0</v>
      </c>
      <c r="H32" s="159"/>
      <c r="I32" s="160"/>
      <c r="J32" s="161"/>
    </row>
    <row r="33" spans="1:10" x14ac:dyDescent="0.25">
      <c r="A33" s="52"/>
      <c r="B33" s="128" t="s">
        <v>39</v>
      </c>
      <c r="C33" s="129"/>
      <c r="D33" s="129"/>
      <c r="E33" s="129"/>
      <c r="F33" s="129"/>
      <c r="G33" s="129"/>
      <c r="H33" s="139"/>
      <c r="I33" s="140"/>
      <c r="J33" s="38"/>
    </row>
    <row r="34" spans="1:10" x14ac:dyDescent="0.25">
      <c r="A34" s="52"/>
      <c r="B34" s="88" t="s">
        <v>40</v>
      </c>
      <c r="C34" s="60" t="s">
        <v>41</v>
      </c>
      <c r="D34" s="149" t="s">
        <v>13</v>
      </c>
      <c r="E34" s="149"/>
      <c r="F34" s="149" t="s">
        <v>14</v>
      </c>
      <c r="G34" s="149"/>
      <c r="H34" s="149" t="s">
        <v>15</v>
      </c>
      <c r="I34" s="149"/>
      <c r="J34" s="38"/>
    </row>
    <row r="35" spans="1:10" x14ac:dyDescent="0.25">
      <c r="A35" s="52"/>
      <c r="B35" s="17" t="s">
        <v>44</v>
      </c>
      <c r="C35" s="100"/>
      <c r="D35" s="141">
        <v>19</v>
      </c>
      <c r="E35" s="142"/>
      <c r="F35" s="141">
        <f>C35*D35</f>
        <v>0</v>
      </c>
      <c r="G35" s="142"/>
      <c r="H35" s="141">
        <f>F35*1.27</f>
        <v>0</v>
      </c>
      <c r="I35" s="142"/>
      <c r="J35" s="38"/>
    </row>
    <row r="36" spans="1:10" x14ac:dyDescent="0.25">
      <c r="A36" s="52"/>
      <c r="B36" s="17" t="s">
        <v>134</v>
      </c>
      <c r="C36" s="100"/>
      <c r="D36" s="141">
        <v>17</v>
      </c>
      <c r="E36" s="142"/>
      <c r="F36" s="141">
        <f t="shared" ref="F36:F38" si="8">C36*D36</f>
        <v>0</v>
      </c>
      <c r="G36" s="142"/>
      <c r="H36" s="141">
        <f t="shared" ref="H36:H38" si="9">F36*1.27</f>
        <v>0</v>
      </c>
      <c r="I36" s="142"/>
      <c r="J36" s="38"/>
    </row>
    <row r="37" spans="1:10" x14ac:dyDescent="0.25">
      <c r="A37" s="52"/>
      <c r="B37" s="17" t="s">
        <v>109</v>
      </c>
      <c r="C37" s="100"/>
      <c r="D37" s="141">
        <v>15</v>
      </c>
      <c r="E37" s="142"/>
      <c r="F37" s="141">
        <f t="shared" si="8"/>
        <v>0</v>
      </c>
      <c r="G37" s="142"/>
      <c r="H37" s="141">
        <f t="shared" si="9"/>
        <v>0</v>
      </c>
      <c r="I37" s="142"/>
      <c r="J37" s="38"/>
    </row>
    <row r="38" spans="1:10" x14ac:dyDescent="0.25">
      <c r="A38" s="52"/>
      <c r="B38" s="17" t="s">
        <v>110</v>
      </c>
      <c r="C38" s="100"/>
      <c r="D38" s="141">
        <v>0</v>
      </c>
      <c r="E38" s="142"/>
      <c r="F38" s="141">
        <f t="shared" si="8"/>
        <v>0</v>
      </c>
      <c r="G38" s="142"/>
      <c r="H38" s="141">
        <f t="shared" si="9"/>
        <v>0</v>
      </c>
      <c r="I38" s="142"/>
      <c r="J38" s="38"/>
    </row>
    <row r="39" spans="1:10" x14ac:dyDescent="0.25">
      <c r="A39" s="52"/>
      <c r="B39" s="162" t="s">
        <v>38</v>
      </c>
      <c r="C39" s="163"/>
      <c r="D39" s="163"/>
      <c r="E39" s="155"/>
      <c r="F39" s="153">
        <f>SUM(F35:F38)</f>
        <v>0</v>
      </c>
      <c r="G39" s="155"/>
      <c r="H39" s="153">
        <f t="shared" ref="H39" si="10">F39*1.27</f>
        <v>0</v>
      </c>
      <c r="I39" s="154"/>
      <c r="J39" s="38"/>
    </row>
    <row r="40" spans="1:10" x14ac:dyDescent="0.25">
      <c r="A40" s="52"/>
      <c r="B40" s="37"/>
      <c r="C40" s="37"/>
      <c r="D40" s="37"/>
      <c r="E40" s="37"/>
      <c r="F40" s="37"/>
      <c r="G40" s="37"/>
      <c r="H40" s="37"/>
      <c r="I40" s="37"/>
      <c r="J40" s="38"/>
    </row>
    <row r="41" spans="1:10" x14ac:dyDescent="0.25">
      <c r="A41" s="52"/>
      <c r="B41" s="164" t="s">
        <v>55</v>
      </c>
      <c r="C41" s="164"/>
      <c r="D41" s="150">
        <f>F22+F32+F39</f>
        <v>0</v>
      </c>
      <c r="E41" s="151"/>
      <c r="F41" s="165" t="s">
        <v>57</v>
      </c>
      <c r="G41" s="165"/>
      <c r="H41" s="150">
        <f>D41*1.27</f>
        <v>0</v>
      </c>
      <c r="I41" s="151"/>
      <c r="J41" s="38"/>
    </row>
    <row r="42" spans="1:10" ht="15.75" customHeight="1" x14ac:dyDescent="0.25">
      <c r="A42" s="52"/>
      <c r="B42" s="152" t="s">
        <v>56</v>
      </c>
      <c r="C42" s="152"/>
      <c r="D42" s="151"/>
      <c r="E42" s="151"/>
      <c r="F42" s="165"/>
      <c r="G42" s="165"/>
      <c r="H42" s="151"/>
      <c r="I42" s="151"/>
      <c r="J42" s="38"/>
    </row>
    <row r="43" spans="1:10" ht="15.75" customHeight="1" x14ac:dyDescent="0.25">
      <c r="A43" s="143" t="s">
        <v>93</v>
      </c>
      <c r="B43" s="144"/>
      <c r="C43" s="144"/>
      <c r="D43" s="144"/>
      <c r="E43" s="144"/>
      <c r="F43" s="144"/>
      <c r="G43" s="144"/>
      <c r="H43" s="144"/>
      <c r="I43" s="144"/>
      <c r="J43" s="145"/>
    </row>
    <row r="44" spans="1:10" x14ac:dyDescent="0.25">
      <c r="A44" s="146"/>
      <c r="B44" s="147"/>
      <c r="C44" s="147"/>
      <c r="D44" s="147"/>
      <c r="E44" s="147"/>
      <c r="F44" s="147"/>
      <c r="G44" s="147"/>
      <c r="H44" s="147"/>
      <c r="I44" s="147"/>
      <c r="J44" s="148"/>
    </row>
    <row r="45" spans="1:10" ht="17.25" customHeight="1" x14ac:dyDescent="0.25">
      <c r="A45" s="133" t="s">
        <v>126</v>
      </c>
      <c r="B45" s="134"/>
      <c r="C45" s="134"/>
      <c r="D45" s="134"/>
      <c r="E45" s="135"/>
      <c r="F45" s="120" t="s">
        <v>59</v>
      </c>
      <c r="G45" s="121"/>
      <c r="H45" s="121"/>
      <c r="I45" s="121"/>
      <c r="J45" s="122"/>
    </row>
    <row r="46" spans="1:10" ht="13.5" customHeight="1" x14ac:dyDescent="0.25">
      <c r="A46" s="136"/>
      <c r="B46" s="137"/>
      <c r="C46" s="137"/>
      <c r="D46" s="137"/>
      <c r="E46" s="138"/>
      <c r="F46" s="123"/>
      <c r="G46" s="124"/>
      <c r="H46" s="124"/>
      <c r="I46" s="124"/>
      <c r="J46" s="125"/>
    </row>
    <row r="47" spans="1:10" ht="15.75" customHeight="1" x14ac:dyDescent="0.25">
      <c r="A47" s="120" t="s">
        <v>111</v>
      </c>
      <c r="B47" s="121"/>
      <c r="C47" s="121"/>
      <c r="D47" s="121"/>
      <c r="E47" s="121"/>
      <c r="F47" s="121"/>
      <c r="G47" s="121"/>
      <c r="H47" s="121"/>
      <c r="I47" s="121"/>
      <c r="J47" s="122"/>
    </row>
    <row r="48" spans="1:10" ht="18.75" customHeight="1" x14ac:dyDescent="0.25">
      <c r="A48" s="123"/>
      <c r="B48" s="124"/>
      <c r="C48" s="124"/>
      <c r="D48" s="124"/>
      <c r="E48" s="124"/>
      <c r="F48" s="124"/>
      <c r="G48" s="124"/>
      <c r="H48" s="124"/>
      <c r="I48" s="124"/>
      <c r="J48" s="125"/>
    </row>
    <row r="49" spans="1:10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</row>
    <row r="50" spans="1:10" ht="409.6" customHeight="1" x14ac:dyDescent="0.25">
      <c r="A50" s="105" t="s">
        <v>92</v>
      </c>
      <c r="B50" s="105"/>
      <c r="C50" s="105"/>
      <c r="D50" s="105"/>
      <c r="E50" s="105"/>
      <c r="F50" s="105"/>
      <c r="G50" s="105"/>
      <c r="H50" s="105"/>
      <c r="I50" s="105"/>
      <c r="J50" s="105"/>
    </row>
    <row r="51" spans="1:10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</row>
    <row r="52" spans="1:10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</row>
    <row r="53" spans="1:10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</row>
    <row r="54" spans="1:10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</row>
    <row r="55" spans="1:10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</row>
    <row r="56" spans="1:10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</row>
    <row r="57" spans="1:10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</row>
    <row r="58" spans="1:10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</row>
    <row r="59" spans="1:10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</row>
    <row r="60" spans="1:10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</row>
    <row r="61" spans="1:10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</row>
    <row r="62" spans="1:10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</row>
    <row r="63" spans="1:10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</row>
    <row r="64" spans="1:10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</row>
    <row r="65" spans="1:10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</row>
    <row r="66" spans="1:10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</row>
    <row r="67" spans="1:10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</row>
    <row r="68" spans="1:10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</row>
    <row r="69" spans="1:10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</row>
    <row r="70" spans="1:10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</row>
    <row r="71" spans="1:10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</row>
    <row r="72" spans="1:10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</row>
    <row r="73" spans="1:10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</row>
    <row r="74" spans="1:10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</row>
    <row r="75" spans="1:10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</row>
    <row r="76" spans="1:10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</row>
    <row r="77" spans="1:10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</row>
    <row r="78" spans="1:10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</row>
    <row r="79" spans="1:10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</row>
    <row r="80" spans="1:10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</row>
    <row r="81" spans="1:10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</row>
    <row r="82" spans="1:10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</row>
    <row r="83" spans="1:10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</row>
    <row r="84" spans="1:10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</row>
    <row r="85" spans="1:10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</row>
    <row r="86" spans="1:10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</row>
    <row r="87" spans="1:10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</row>
    <row r="88" spans="1:10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</row>
    <row r="89" spans="1:10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</row>
    <row r="90" spans="1:10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</row>
    <row r="91" spans="1:10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</row>
    <row r="92" spans="1:10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</row>
    <row r="93" spans="1:10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</row>
    <row r="94" spans="1:10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</row>
    <row r="95" spans="1:10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</row>
    <row r="96" spans="1:10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</row>
    <row r="97" spans="1:10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</row>
    <row r="98" spans="1:10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</row>
  </sheetData>
  <mergeCells count="48">
    <mergeCell ref="H41:I42"/>
    <mergeCell ref="B42:C42"/>
    <mergeCell ref="D35:E35"/>
    <mergeCell ref="F35:G35"/>
    <mergeCell ref="B32:C32"/>
    <mergeCell ref="H39:I39"/>
    <mergeCell ref="F39:G39"/>
    <mergeCell ref="H35:I35"/>
    <mergeCell ref="D36:E36"/>
    <mergeCell ref="F36:G36"/>
    <mergeCell ref="H36:I36"/>
    <mergeCell ref="H31:J32"/>
    <mergeCell ref="B39:E39"/>
    <mergeCell ref="B41:C41"/>
    <mergeCell ref="D41:E42"/>
    <mergeCell ref="F41:G42"/>
    <mergeCell ref="F5:G5"/>
    <mergeCell ref="H5:I5"/>
    <mergeCell ref="A23:G23"/>
    <mergeCell ref="H29:I30"/>
    <mergeCell ref="A45:E46"/>
    <mergeCell ref="B33:I33"/>
    <mergeCell ref="D38:E38"/>
    <mergeCell ref="A43:J44"/>
    <mergeCell ref="F34:G34"/>
    <mergeCell ref="H34:I34"/>
    <mergeCell ref="D37:E37"/>
    <mergeCell ref="F37:G37"/>
    <mergeCell ref="H37:I37"/>
    <mergeCell ref="H38:I38"/>
    <mergeCell ref="F38:G38"/>
    <mergeCell ref="D34:E34"/>
    <mergeCell ref="A50:J73"/>
    <mergeCell ref="J8:J9"/>
    <mergeCell ref="A1:B2"/>
    <mergeCell ref="F1:G1"/>
    <mergeCell ref="F2:G2"/>
    <mergeCell ref="A3:B3"/>
    <mergeCell ref="F3:G3"/>
    <mergeCell ref="A4:B4"/>
    <mergeCell ref="D4:E4"/>
    <mergeCell ref="F4:G4"/>
    <mergeCell ref="B22:C22"/>
    <mergeCell ref="H4:I4"/>
    <mergeCell ref="A5:B5"/>
    <mergeCell ref="D5:E5"/>
    <mergeCell ref="A47:J48"/>
    <mergeCell ref="F45:J46"/>
  </mergeCells>
  <phoneticPr fontId="11" type="noConversion"/>
  <pageMargins left="0.25" right="0.25" top="0.75" bottom="0.75" header="0.3" footer="0.3"/>
  <pageSetup paperSize="9" fitToWidth="0" fitToHeight="0" orientation="portrait" r:id="rId1"/>
  <headerFooter>
    <oddHeader>&amp;L&amp;G&amp;C&amp;"Ubuntu,Félkövér"&amp;16&amp;KC00000AJÁNLATKÉRŐ LAP
&amp;10&amp;UAz ár érvényesség ideje 1 nap.&amp;R&amp;10Áraink &amp;"Ubuntu,Félkövér"nettó &amp;"Ubuntu,Normál"árak az 
&amp;"Ubuntu,Félkövér"ÁFÁ-t &amp;12nem&amp;"Ubuntu,Normál" &amp;10tartalmazzák</oddHeader>
    <oddFooter>&amp;Linfo@sl-lemezkereskedes.hu&amp;C+36-30/203-07-19
+36-30/326-73-33
+36-30/203-09-19&amp;RNyitvatartás:
Hétfőtől - Péntekig 7:30 - 16:30
Szombat 7:30 - 12:30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5641FD-4438-4E00-B58C-6AD5D974FF30}">
          <x14:formula1>
            <xm:f>Keritésadatok!$A$2:$A$10</xm:f>
          </x14:formula1>
          <xm:sqref>A5:B5</xm:sqref>
        </x14:dataValidation>
        <x14:dataValidation type="list" allowBlank="1" showInputMessage="1" showErrorMessage="1" xr:uid="{A7DA3957-D85C-45FF-859A-374AB8CCC527}">
          <x14:formula1>
            <xm:f>Keritésadatok!$G$2:$G$34</xm:f>
          </x14:formula1>
          <xm:sqref>C5</xm:sqref>
        </x14:dataValidation>
        <x14:dataValidation type="list" allowBlank="1" showInputMessage="1" showErrorMessage="1" xr:uid="{7294F9F3-4B0F-4AE0-8B33-635A843D8896}">
          <x14:formula1>
            <xm:f>Keritésadatok!$E$2:$E$15</xm:f>
          </x14:formula1>
          <xm:sqref>D5:E5</xm:sqref>
        </x14:dataValidation>
        <x14:dataValidation type="list" allowBlank="1" showInputMessage="1" showErrorMessage="1" xr:uid="{1083ED4C-3A43-4C17-92CB-B3B0E0300491}">
          <x14:formula1>
            <xm:f>Keritésadatok!$C$2:$C$12</xm:f>
          </x14:formula1>
          <xm:sqref>F5:G5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449A-16AF-4C4D-82A8-6158CCFE722A}">
  <dimension ref="A1:J20"/>
  <sheetViews>
    <sheetView workbookViewId="0">
      <selection activeCell="B9" sqref="B9"/>
    </sheetView>
  </sheetViews>
  <sheetFormatPr defaultRowHeight="15.75" x14ac:dyDescent="0.25"/>
  <cols>
    <col min="1" max="1" width="10.75" customWidth="1"/>
    <col min="2" max="2" width="15" bestFit="1" customWidth="1"/>
    <col min="4" max="4" width="12.25" bestFit="1" customWidth="1"/>
    <col min="6" max="6" width="15" bestFit="1" customWidth="1"/>
  </cols>
  <sheetData>
    <row r="1" spans="1:10" ht="16.5" x14ac:dyDescent="0.3">
      <c r="A1" s="6" t="s">
        <v>60</v>
      </c>
      <c r="B1" s="6" t="s">
        <v>61</v>
      </c>
      <c r="C1" s="5"/>
      <c r="D1" s="8" t="s">
        <v>63</v>
      </c>
      <c r="E1" s="5"/>
      <c r="F1" s="12" t="s">
        <v>6</v>
      </c>
      <c r="H1" s="13" t="s">
        <v>8</v>
      </c>
      <c r="J1" s="16" t="s">
        <v>82</v>
      </c>
    </row>
    <row r="2" spans="1:10" x14ac:dyDescent="0.25">
      <c r="A2" s="7" t="s">
        <v>76</v>
      </c>
      <c r="B2" s="10">
        <v>1.2</v>
      </c>
      <c r="D2" s="11" t="s">
        <v>64</v>
      </c>
      <c r="F2" s="9" t="s">
        <v>69</v>
      </c>
      <c r="H2" s="14" t="s">
        <v>74</v>
      </c>
      <c r="J2" s="15">
        <v>3000</v>
      </c>
    </row>
    <row r="3" spans="1:10" x14ac:dyDescent="0.25">
      <c r="A3" s="7" t="s">
        <v>77</v>
      </c>
      <c r="B3" s="10">
        <v>1.2</v>
      </c>
      <c r="D3" s="11" t="s">
        <v>65</v>
      </c>
      <c r="F3" s="9" t="s">
        <v>136</v>
      </c>
      <c r="H3" s="14" t="s">
        <v>75</v>
      </c>
      <c r="J3" s="15">
        <v>3005</v>
      </c>
    </row>
    <row r="4" spans="1:10" x14ac:dyDescent="0.25">
      <c r="A4" s="7" t="s">
        <v>78</v>
      </c>
      <c r="B4" s="10">
        <v>1.19</v>
      </c>
      <c r="D4" s="11" t="s">
        <v>66</v>
      </c>
      <c r="F4" s="9" t="s">
        <v>135</v>
      </c>
      <c r="J4" s="15">
        <v>3009</v>
      </c>
    </row>
    <row r="5" spans="1:10" x14ac:dyDescent="0.25">
      <c r="A5" s="7" t="s">
        <v>79</v>
      </c>
      <c r="B5" s="10">
        <v>1.202</v>
      </c>
      <c r="D5" s="11" t="s">
        <v>67</v>
      </c>
      <c r="F5" s="9" t="s">
        <v>83</v>
      </c>
      <c r="J5" s="15">
        <v>3011</v>
      </c>
    </row>
    <row r="6" spans="1:10" x14ac:dyDescent="0.25">
      <c r="A6" s="7" t="s">
        <v>80</v>
      </c>
      <c r="B6" s="10">
        <v>1.1499999999999999</v>
      </c>
      <c r="D6" s="11" t="s">
        <v>68</v>
      </c>
      <c r="F6" s="9"/>
      <c r="J6" s="15">
        <v>5010</v>
      </c>
    </row>
    <row r="7" spans="1:10" x14ac:dyDescent="0.25">
      <c r="A7" s="7" t="s">
        <v>62</v>
      </c>
      <c r="B7" s="10">
        <v>1.23</v>
      </c>
      <c r="D7" s="1"/>
      <c r="F7" s="9"/>
      <c r="J7" s="15">
        <v>6005</v>
      </c>
    </row>
    <row r="8" spans="1:10" x14ac:dyDescent="0.25">
      <c r="A8" s="7" t="s">
        <v>141</v>
      </c>
      <c r="B8" s="10">
        <v>1.095</v>
      </c>
      <c r="F8" s="9"/>
      <c r="J8" s="15">
        <v>6011</v>
      </c>
    </row>
    <row r="9" spans="1:10" x14ac:dyDescent="0.25">
      <c r="A9" s="7" t="s">
        <v>142</v>
      </c>
      <c r="B9" s="10">
        <v>0.54</v>
      </c>
      <c r="F9" s="9"/>
      <c r="J9" s="15">
        <v>6020</v>
      </c>
    </row>
    <row r="10" spans="1:10" x14ac:dyDescent="0.25">
      <c r="A10" s="7"/>
      <c r="B10" s="10"/>
      <c r="J10" s="15">
        <v>7016</v>
      </c>
    </row>
    <row r="11" spans="1:10" x14ac:dyDescent="0.25">
      <c r="A11" s="7"/>
      <c r="B11" s="10"/>
      <c r="J11" s="15">
        <v>7024</v>
      </c>
    </row>
    <row r="12" spans="1:10" x14ac:dyDescent="0.25">
      <c r="J12" s="15">
        <v>7035</v>
      </c>
    </row>
    <row r="13" spans="1:10" x14ac:dyDescent="0.25">
      <c r="J13" s="15">
        <v>8004</v>
      </c>
    </row>
    <row r="14" spans="1:10" x14ac:dyDescent="0.25">
      <c r="J14" s="15">
        <v>8017</v>
      </c>
    </row>
    <row r="15" spans="1:10" x14ac:dyDescent="0.25">
      <c r="J15" s="15">
        <v>8019</v>
      </c>
    </row>
    <row r="16" spans="1:10" x14ac:dyDescent="0.25">
      <c r="J16" s="15">
        <v>9002</v>
      </c>
    </row>
    <row r="17" spans="10:10" x14ac:dyDescent="0.25">
      <c r="J17" s="15">
        <v>9005</v>
      </c>
    </row>
    <row r="18" spans="10:10" x14ac:dyDescent="0.25">
      <c r="J18" s="15">
        <v>9006</v>
      </c>
    </row>
    <row r="19" spans="10:10" x14ac:dyDescent="0.25">
      <c r="J19" s="15">
        <v>9007</v>
      </c>
    </row>
    <row r="20" spans="10:10" x14ac:dyDescent="0.25">
      <c r="J20" s="15">
        <v>9010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BCB4-30DB-4009-8AB9-8BC506FCFA76}">
  <dimension ref="A1:J34"/>
  <sheetViews>
    <sheetView workbookViewId="0">
      <selection activeCell="J2" sqref="J2:J34"/>
    </sheetView>
  </sheetViews>
  <sheetFormatPr defaultRowHeight="15.75" x14ac:dyDescent="0.25"/>
  <cols>
    <col min="1" max="1" width="16.5" bestFit="1" customWidth="1"/>
    <col min="2" max="2" width="15.5" bestFit="1" customWidth="1"/>
    <col min="4" max="4" width="12.25" bestFit="1" customWidth="1"/>
    <col min="6" max="6" width="17.875" bestFit="1" customWidth="1"/>
    <col min="10" max="10" width="23" bestFit="1" customWidth="1"/>
  </cols>
  <sheetData>
    <row r="1" spans="1:10" ht="16.5" x14ac:dyDescent="0.3">
      <c r="A1" s="6" t="s">
        <v>60</v>
      </c>
      <c r="B1" s="6" t="s">
        <v>61</v>
      </c>
      <c r="C1" s="5"/>
      <c r="D1" s="8" t="s">
        <v>63</v>
      </c>
      <c r="E1" s="5"/>
      <c r="F1" s="12" t="s">
        <v>6</v>
      </c>
      <c r="H1" s="13" t="s">
        <v>8</v>
      </c>
      <c r="J1" s="16" t="s">
        <v>82</v>
      </c>
    </row>
    <row r="2" spans="1:10" x14ac:dyDescent="0.25">
      <c r="A2" s="7" t="s">
        <v>152</v>
      </c>
      <c r="B2" s="10">
        <v>1.19</v>
      </c>
      <c r="D2" s="11" t="s">
        <v>145</v>
      </c>
      <c r="F2" s="9" t="s">
        <v>69</v>
      </c>
      <c r="H2" s="14" t="s">
        <v>74</v>
      </c>
      <c r="J2" s="15">
        <v>1002</v>
      </c>
    </row>
    <row r="3" spans="1:10" x14ac:dyDescent="0.25">
      <c r="A3" s="7" t="s">
        <v>131</v>
      </c>
      <c r="B3" s="10">
        <v>1.18</v>
      </c>
      <c r="D3" s="11" t="s">
        <v>64</v>
      </c>
      <c r="F3" s="9" t="s">
        <v>136</v>
      </c>
      <c r="H3" s="14" t="s">
        <v>75</v>
      </c>
      <c r="J3" s="15">
        <v>1015</v>
      </c>
    </row>
    <row r="4" spans="1:10" x14ac:dyDescent="0.25">
      <c r="A4" s="7" t="s">
        <v>84</v>
      </c>
      <c r="B4" s="10">
        <v>1.18</v>
      </c>
      <c r="D4" s="11" t="s">
        <v>65</v>
      </c>
      <c r="F4" s="9" t="s">
        <v>135</v>
      </c>
      <c r="J4" s="15">
        <v>3000</v>
      </c>
    </row>
    <row r="5" spans="1:10" x14ac:dyDescent="0.25">
      <c r="A5" s="7" t="s">
        <v>130</v>
      </c>
      <c r="B5" s="10">
        <v>1.1000000000000001</v>
      </c>
      <c r="D5" s="11" t="s">
        <v>66</v>
      </c>
      <c r="F5" s="9" t="s">
        <v>83</v>
      </c>
      <c r="J5" s="15">
        <v>3005</v>
      </c>
    </row>
    <row r="6" spans="1:10" x14ac:dyDescent="0.25">
      <c r="A6" s="7" t="s">
        <v>153</v>
      </c>
      <c r="B6" s="10">
        <v>1.1599999999999999</v>
      </c>
      <c r="D6" s="11" t="s">
        <v>67</v>
      </c>
      <c r="F6" s="9" t="s">
        <v>71</v>
      </c>
      <c r="J6" s="15">
        <v>3009</v>
      </c>
    </row>
    <row r="7" spans="1:10" x14ac:dyDescent="0.25">
      <c r="A7" s="7" t="s">
        <v>154</v>
      </c>
      <c r="B7" s="10">
        <v>1.1399999999999999</v>
      </c>
      <c r="D7" s="11" t="s">
        <v>68</v>
      </c>
      <c r="F7" s="9" t="s">
        <v>70</v>
      </c>
      <c r="J7" s="15">
        <v>3011</v>
      </c>
    </row>
    <row r="8" spans="1:10" x14ac:dyDescent="0.25">
      <c r="A8" s="7" t="s">
        <v>169</v>
      </c>
      <c r="B8" s="10"/>
      <c r="D8" s="1"/>
      <c r="F8" s="9" t="s">
        <v>72</v>
      </c>
      <c r="J8" s="15">
        <v>5010</v>
      </c>
    </row>
    <row r="9" spans="1:10" x14ac:dyDescent="0.25">
      <c r="A9" s="7" t="s">
        <v>146</v>
      </c>
      <c r="B9" s="10">
        <v>1.1499999999999999</v>
      </c>
      <c r="F9" s="9" t="s">
        <v>73</v>
      </c>
      <c r="J9" s="15">
        <v>6005</v>
      </c>
    </row>
    <row r="10" spans="1:10" x14ac:dyDescent="0.25">
      <c r="A10" s="7" t="s">
        <v>147</v>
      </c>
      <c r="B10" s="10">
        <v>1.1200000000000001</v>
      </c>
      <c r="F10" s="9" t="s">
        <v>143</v>
      </c>
      <c r="J10" s="15">
        <v>6011</v>
      </c>
    </row>
    <row r="11" spans="1:10" x14ac:dyDescent="0.25">
      <c r="A11" s="30" t="s">
        <v>148</v>
      </c>
      <c r="B11" s="10">
        <v>1.1599999999999999</v>
      </c>
      <c r="F11" s="9" t="s">
        <v>144</v>
      </c>
      <c r="J11" s="15">
        <v>6020</v>
      </c>
    </row>
    <row r="12" spans="1:10" x14ac:dyDescent="0.25">
      <c r="A12" s="18" t="s">
        <v>132</v>
      </c>
      <c r="B12" s="10">
        <v>1.05</v>
      </c>
      <c r="F12" s="9" t="s">
        <v>158</v>
      </c>
      <c r="J12" s="15">
        <v>7016</v>
      </c>
    </row>
    <row r="13" spans="1:10" x14ac:dyDescent="0.25">
      <c r="A13" s="7" t="s">
        <v>155</v>
      </c>
      <c r="B13" s="10">
        <v>1.08</v>
      </c>
      <c r="F13" s="9" t="s">
        <v>159</v>
      </c>
      <c r="J13" s="15">
        <v>7024</v>
      </c>
    </row>
    <row r="14" spans="1:10" x14ac:dyDescent="0.25">
      <c r="A14" s="7" t="s">
        <v>149</v>
      </c>
      <c r="B14" s="10">
        <v>1.1000000000000001</v>
      </c>
      <c r="F14" s="9" t="s">
        <v>157</v>
      </c>
      <c r="J14" s="15">
        <v>7035</v>
      </c>
    </row>
    <row r="15" spans="1:10" x14ac:dyDescent="0.25">
      <c r="A15" s="7" t="s">
        <v>150</v>
      </c>
      <c r="B15" s="10">
        <v>1.05</v>
      </c>
      <c r="F15" s="9"/>
      <c r="J15" s="15">
        <v>8004</v>
      </c>
    </row>
    <row r="16" spans="1:10" x14ac:dyDescent="0.25">
      <c r="A16" s="7" t="s">
        <v>151</v>
      </c>
      <c r="B16" s="10">
        <v>1.08</v>
      </c>
      <c r="J16" s="15">
        <v>8017</v>
      </c>
    </row>
    <row r="17" spans="1:10" x14ac:dyDescent="0.25">
      <c r="A17" s="7" t="s">
        <v>156</v>
      </c>
      <c r="B17" s="10">
        <v>1.04</v>
      </c>
      <c r="J17" s="15">
        <v>8019</v>
      </c>
    </row>
    <row r="18" spans="1:10" x14ac:dyDescent="0.25">
      <c r="A18" s="7"/>
      <c r="B18" s="10"/>
      <c r="J18" s="15">
        <v>9002</v>
      </c>
    </row>
    <row r="19" spans="1:10" x14ac:dyDescent="0.25">
      <c r="A19" s="7"/>
      <c r="B19" s="10"/>
      <c r="J19" s="15">
        <v>9005</v>
      </c>
    </row>
    <row r="20" spans="1:10" x14ac:dyDescent="0.25">
      <c r="A20" s="7"/>
      <c r="B20" s="10"/>
      <c r="J20" s="15">
        <v>9006</v>
      </c>
    </row>
    <row r="21" spans="1:10" x14ac:dyDescent="0.25">
      <c r="A21" s="7"/>
      <c r="B21" s="10"/>
      <c r="J21" s="15">
        <v>9007</v>
      </c>
    </row>
    <row r="22" spans="1:10" x14ac:dyDescent="0.25">
      <c r="A22" s="7"/>
      <c r="B22" s="10"/>
      <c r="J22" s="15">
        <v>9010</v>
      </c>
    </row>
    <row r="23" spans="1:10" x14ac:dyDescent="0.25">
      <c r="A23" s="7"/>
      <c r="B23" s="10"/>
      <c r="J23" s="23" t="s">
        <v>120</v>
      </c>
    </row>
    <row r="24" spans="1:10" x14ac:dyDescent="0.25">
      <c r="A24" s="7"/>
      <c r="B24" s="10"/>
      <c r="J24" s="23" t="s">
        <v>121</v>
      </c>
    </row>
    <row r="25" spans="1:10" x14ac:dyDescent="0.25">
      <c r="J25" s="19" t="s">
        <v>85</v>
      </c>
    </row>
    <row r="26" spans="1:10" x14ac:dyDescent="0.25">
      <c r="J26" s="19" t="s">
        <v>88</v>
      </c>
    </row>
    <row r="27" spans="1:10" x14ac:dyDescent="0.25">
      <c r="J27" s="19" t="s">
        <v>127</v>
      </c>
    </row>
    <row r="28" spans="1:10" x14ac:dyDescent="0.25">
      <c r="J28" s="19" t="s">
        <v>86</v>
      </c>
    </row>
    <row r="29" spans="1:10" x14ac:dyDescent="0.25">
      <c r="J29" s="19" t="s">
        <v>87</v>
      </c>
    </row>
    <row r="30" spans="1:10" x14ac:dyDescent="0.25">
      <c r="J30" s="19" t="s">
        <v>89</v>
      </c>
    </row>
    <row r="31" spans="1:10" x14ac:dyDescent="0.25">
      <c r="J31" s="19" t="s">
        <v>113</v>
      </c>
    </row>
    <row r="32" spans="1:10" x14ac:dyDescent="0.25">
      <c r="J32" s="19" t="s">
        <v>90</v>
      </c>
    </row>
    <row r="33" spans="10:10" x14ac:dyDescent="0.25">
      <c r="J33" s="19" t="s">
        <v>91</v>
      </c>
    </row>
    <row r="34" spans="10:10" x14ac:dyDescent="0.25">
      <c r="J34" s="19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A7C6-DB55-4EB0-8577-D6A1A5F69F04}">
  <dimension ref="A1:G35"/>
  <sheetViews>
    <sheetView workbookViewId="0">
      <selection activeCell="C2" sqref="C2:C5"/>
    </sheetView>
  </sheetViews>
  <sheetFormatPr defaultRowHeight="15.75" x14ac:dyDescent="0.25"/>
  <cols>
    <col min="1" max="1" width="19.5" bestFit="1" customWidth="1"/>
    <col min="3" max="3" width="19.25" bestFit="1" customWidth="1"/>
    <col min="5" max="5" width="17.875" bestFit="1" customWidth="1"/>
    <col min="7" max="7" width="16.375" bestFit="1" customWidth="1"/>
  </cols>
  <sheetData>
    <row r="1" spans="1:7" ht="16.5" x14ac:dyDescent="0.3">
      <c r="A1" s="6" t="s">
        <v>60</v>
      </c>
      <c r="C1" s="8" t="s">
        <v>101</v>
      </c>
      <c r="D1" s="5"/>
      <c r="E1" s="12" t="s">
        <v>6</v>
      </c>
      <c r="G1" s="16" t="s">
        <v>82</v>
      </c>
    </row>
    <row r="2" spans="1:7" x14ac:dyDescent="0.25">
      <c r="A2" s="7" t="s">
        <v>96</v>
      </c>
      <c r="C2" s="11" t="s">
        <v>171</v>
      </c>
      <c r="E2" s="9" t="s">
        <v>69</v>
      </c>
      <c r="G2" s="15">
        <v>1002</v>
      </c>
    </row>
    <row r="3" spans="1:7" x14ac:dyDescent="0.25">
      <c r="A3" s="7" t="s">
        <v>133</v>
      </c>
      <c r="C3" s="11" t="s">
        <v>172</v>
      </c>
      <c r="E3" s="9" t="s">
        <v>136</v>
      </c>
      <c r="G3" s="15">
        <v>1015</v>
      </c>
    </row>
    <row r="4" spans="1:7" x14ac:dyDescent="0.25">
      <c r="A4" s="7" t="s">
        <v>97</v>
      </c>
      <c r="C4" s="11" t="s">
        <v>173</v>
      </c>
      <c r="E4" s="9" t="s">
        <v>135</v>
      </c>
      <c r="G4" s="15">
        <v>3000</v>
      </c>
    </row>
    <row r="5" spans="1:7" x14ac:dyDescent="0.25">
      <c r="A5" s="7" t="s">
        <v>98</v>
      </c>
      <c r="C5" s="11" t="s">
        <v>102</v>
      </c>
      <c r="E5" s="9" t="s">
        <v>83</v>
      </c>
      <c r="G5" s="15">
        <v>3005</v>
      </c>
    </row>
    <row r="6" spans="1:7" x14ac:dyDescent="0.25">
      <c r="A6" s="7" t="s">
        <v>160</v>
      </c>
      <c r="C6" s="11" t="s">
        <v>174</v>
      </c>
      <c r="E6" s="9" t="s">
        <v>170</v>
      </c>
      <c r="G6" s="15">
        <v>3009</v>
      </c>
    </row>
    <row r="7" spans="1:7" x14ac:dyDescent="0.25">
      <c r="A7" s="7" t="s">
        <v>161</v>
      </c>
      <c r="C7" s="11" t="s">
        <v>103</v>
      </c>
      <c r="E7" s="9" t="s">
        <v>71</v>
      </c>
      <c r="G7" s="15">
        <v>3011</v>
      </c>
    </row>
    <row r="8" spans="1:7" x14ac:dyDescent="0.25">
      <c r="A8" s="7" t="s">
        <v>162</v>
      </c>
      <c r="C8" s="11" t="s">
        <v>104</v>
      </c>
      <c r="E8" s="9" t="s">
        <v>70</v>
      </c>
      <c r="G8" s="15">
        <v>5010</v>
      </c>
    </row>
    <row r="9" spans="1:7" x14ac:dyDescent="0.25">
      <c r="A9" s="7" t="s">
        <v>99</v>
      </c>
      <c r="C9" s="11" t="s">
        <v>105</v>
      </c>
      <c r="E9" s="9" t="s">
        <v>72</v>
      </c>
      <c r="G9" s="15">
        <v>6005</v>
      </c>
    </row>
    <row r="10" spans="1:7" x14ac:dyDescent="0.25">
      <c r="A10" s="7" t="s">
        <v>100</v>
      </c>
      <c r="C10" s="11" t="s">
        <v>106</v>
      </c>
      <c r="E10" s="9" t="s">
        <v>73</v>
      </c>
      <c r="G10" s="15">
        <v>6011</v>
      </c>
    </row>
    <row r="11" spans="1:7" x14ac:dyDescent="0.25">
      <c r="C11" s="11" t="s">
        <v>107</v>
      </c>
      <c r="E11" s="9" t="s">
        <v>143</v>
      </c>
      <c r="G11" s="15">
        <v>6020</v>
      </c>
    </row>
    <row r="12" spans="1:7" x14ac:dyDescent="0.25">
      <c r="C12" s="21" t="s">
        <v>108</v>
      </c>
      <c r="E12" s="9" t="s">
        <v>144</v>
      </c>
      <c r="G12" s="15">
        <v>7016</v>
      </c>
    </row>
    <row r="13" spans="1:7" x14ac:dyDescent="0.25">
      <c r="E13" s="9" t="s">
        <v>158</v>
      </c>
      <c r="G13" s="15">
        <v>7024</v>
      </c>
    </row>
    <row r="14" spans="1:7" x14ac:dyDescent="0.25">
      <c r="E14" s="9" t="s">
        <v>159</v>
      </c>
      <c r="G14" s="15">
        <v>7035</v>
      </c>
    </row>
    <row r="15" spans="1:7" x14ac:dyDescent="0.25">
      <c r="E15" s="9" t="s">
        <v>157</v>
      </c>
      <c r="G15" s="15">
        <v>8004</v>
      </c>
    </row>
    <row r="16" spans="1:7" x14ac:dyDescent="0.25">
      <c r="G16" s="15">
        <v>8017</v>
      </c>
    </row>
    <row r="17" spans="7:7" x14ac:dyDescent="0.25">
      <c r="G17" s="15">
        <v>8019</v>
      </c>
    </row>
    <row r="18" spans="7:7" x14ac:dyDescent="0.25">
      <c r="G18" s="15">
        <v>9002</v>
      </c>
    </row>
    <row r="19" spans="7:7" x14ac:dyDescent="0.25">
      <c r="G19" s="15">
        <v>9005</v>
      </c>
    </row>
    <row r="20" spans="7:7" x14ac:dyDescent="0.25">
      <c r="G20" s="15">
        <v>9006</v>
      </c>
    </row>
    <row r="21" spans="7:7" x14ac:dyDescent="0.25">
      <c r="G21" s="15">
        <v>9007</v>
      </c>
    </row>
    <row r="22" spans="7:7" x14ac:dyDescent="0.25">
      <c r="G22" s="15">
        <v>9010</v>
      </c>
    </row>
    <row r="23" spans="7:7" x14ac:dyDescent="0.25">
      <c r="G23" s="23" t="s">
        <v>120</v>
      </c>
    </row>
    <row r="24" spans="7:7" x14ac:dyDescent="0.25">
      <c r="G24" s="23" t="s">
        <v>121</v>
      </c>
    </row>
    <row r="25" spans="7:7" x14ac:dyDescent="0.25">
      <c r="G25" s="19" t="s">
        <v>85</v>
      </c>
    </row>
    <row r="26" spans="7:7" x14ac:dyDescent="0.25">
      <c r="G26" s="19" t="s">
        <v>88</v>
      </c>
    </row>
    <row r="27" spans="7:7" x14ac:dyDescent="0.25">
      <c r="G27" s="19" t="s">
        <v>127</v>
      </c>
    </row>
    <row r="28" spans="7:7" x14ac:dyDescent="0.25">
      <c r="G28" s="19" t="s">
        <v>86</v>
      </c>
    </row>
    <row r="29" spans="7:7" x14ac:dyDescent="0.25">
      <c r="G29" s="19" t="s">
        <v>87</v>
      </c>
    </row>
    <row r="30" spans="7:7" x14ac:dyDescent="0.25">
      <c r="G30" s="19" t="s">
        <v>89</v>
      </c>
    </row>
    <row r="31" spans="7:7" x14ac:dyDescent="0.25">
      <c r="G31" s="19" t="s">
        <v>113</v>
      </c>
    </row>
    <row r="32" spans="7:7" x14ac:dyDescent="0.25">
      <c r="G32" s="19" t="s">
        <v>90</v>
      </c>
    </row>
    <row r="33" spans="7:7" x14ac:dyDescent="0.25">
      <c r="G33" s="19" t="s">
        <v>91</v>
      </c>
    </row>
    <row r="34" spans="7:7" x14ac:dyDescent="0.25">
      <c r="G34" s="19" t="s">
        <v>128</v>
      </c>
    </row>
    <row r="35" spans="7:7" x14ac:dyDescent="0.25">
      <c r="G3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Cserepes + korcolt</vt:lpstr>
      <vt:lpstr>Trapézlemezek</vt:lpstr>
      <vt:lpstr>Kerités trapéz</vt:lpstr>
      <vt:lpstr>Trapéz többféle</vt:lpstr>
      <vt:lpstr>Trapéz + kerítéselem</vt:lpstr>
      <vt:lpstr>Keritéselemek</vt:lpstr>
      <vt:lpstr>Cserepes adatok</vt:lpstr>
      <vt:lpstr>Trapéz adatok</vt:lpstr>
      <vt:lpstr>Keritésadatok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Csaba Varga</cp:lastModifiedBy>
  <cp:lastPrinted>2026-05-26T13:05:32Z</cp:lastPrinted>
  <dcterms:created xsi:type="dcterms:W3CDTF">2024-02-13T10:18:11Z</dcterms:created>
  <dcterms:modified xsi:type="dcterms:W3CDTF">2026-06-15T07:31:37Z</dcterms:modified>
</cp:coreProperties>
</file>
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esktop\"/>
    </mc:Choice>
  </mc:AlternateContent>
  <xr:revisionPtr revIDLastSave="0" documentId="13_ncr:1_{0EF17C88-1F49-4A48-BC96-C7BA1895CFAD}" xr6:coauthVersionLast="47" xr6:coauthVersionMax="47" xr10:uidLastSave="{00000000-0000-0000-0000-000000000000}"/>
  <bookViews>
    <workbookView xWindow="-120" yWindow="-120" windowWidth="29040" windowHeight="15840" xr2:uid="{EBE7AA5A-4A48-4E0D-A9CD-6F25985784F6}"/>
  </bookViews>
  <sheets>
    <sheet name="Szendvicspanel" sheetId="7" r:id="rId1"/>
    <sheet name="Szendvicspanel adatok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7" l="1"/>
  <c r="F20" i="7"/>
  <c r="F21" i="7"/>
  <c r="F22" i="7"/>
  <c r="F23" i="7"/>
  <c r="F24" i="7"/>
  <c r="F25" i="7"/>
  <c r="F26" i="7"/>
  <c r="F27" i="7"/>
  <c r="F19" i="7"/>
  <c r="F14" i="7"/>
  <c r="F9" i="7"/>
  <c r="F10" i="7"/>
  <c r="F11" i="7"/>
  <c r="F12" i="7"/>
  <c r="F13" i="7"/>
  <c r="F8" i="7"/>
  <c r="F39" i="7"/>
  <c r="H39" i="7" s="1"/>
  <c r="F37" i="7"/>
  <c r="H37" i="7" s="1"/>
  <c r="F35" i="7"/>
  <c r="H35" i="7" s="1"/>
  <c r="F33" i="7"/>
  <c r="H33" i="7" s="1"/>
  <c r="F31" i="7"/>
  <c r="E26" i="7"/>
  <c r="E25" i="7"/>
  <c r="E24" i="7"/>
  <c r="E23" i="7"/>
  <c r="E22" i="7"/>
  <c r="E21" i="7"/>
  <c r="E20" i="7"/>
  <c r="E19" i="7"/>
  <c r="E13" i="7"/>
  <c r="E12" i="7"/>
  <c r="E11" i="7"/>
  <c r="E10" i="7"/>
  <c r="E9" i="7"/>
  <c r="E8" i="7"/>
  <c r="G20" i="7" l="1"/>
  <c r="H20" i="7" s="1"/>
  <c r="G23" i="7"/>
  <c r="H23" i="7" s="1"/>
  <c r="G24" i="7"/>
  <c r="H24" i="7" s="1"/>
  <c r="G13" i="7"/>
  <c r="H13" i="7" s="1"/>
  <c r="G21" i="7"/>
  <c r="H21" i="7" s="1"/>
  <c r="G25" i="7"/>
  <c r="H25" i="7" s="1"/>
  <c r="F40" i="7"/>
  <c r="H40" i="7" s="1"/>
  <c r="G22" i="7"/>
  <c r="H22" i="7" s="1"/>
  <c r="G26" i="7"/>
  <c r="H26" i="7" s="1"/>
  <c r="H31" i="7"/>
  <c r="G11" i="7"/>
  <c r="H11" i="7" s="1"/>
  <c r="G19" i="7"/>
  <c r="H19" i="7" s="1"/>
  <c r="E27" i="7"/>
  <c r="G27" i="7" s="1"/>
  <c r="G10" i="7"/>
  <c r="H10" i="7" s="1"/>
  <c r="G12" i="7"/>
  <c r="H12" i="7" s="1"/>
  <c r="G9" i="7"/>
  <c r="H9" i="7" s="1"/>
  <c r="E14" i="7"/>
  <c r="G14" i="7" s="1"/>
  <c r="H14" i="7" s="1"/>
  <c r="G8" i="7"/>
  <c r="H8" i="7" s="1"/>
  <c r="H27" i="7" l="1"/>
  <c r="H42" i="7"/>
</calcChain>
</file>

<file path=xl/sharedStrings.xml><?xml version="1.0" encoding="utf-8"?>
<sst xmlns="http://schemas.openxmlformats.org/spreadsheetml/2006/main" count="76" uniqueCount="51">
  <si>
    <t>RSZ</t>
  </si>
  <si>
    <t>Teljes szélesség (m)</t>
  </si>
  <si>
    <t>Hosszúság (m)</t>
  </si>
  <si>
    <t>Db</t>
  </si>
  <si>
    <t>m2 összesen</t>
  </si>
  <si>
    <t>Egységár (nettó)</t>
  </si>
  <si>
    <t>Összesen (nettó)</t>
  </si>
  <si>
    <t>Összesen (bruttó)</t>
  </si>
  <si>
    <t>1.</t>
  </si>
  <si>
    <t>2.</t>
  </si>
  <si>
    <t>3.</t>
  </si>
  <si>
    <t>4.</t>
  </si>
  <si>
    <t>5.</t>
  </si>
  <si>
    <t>6.</t>
  </si>
  <si>
    <t>7.</t>
  </si>
  <si>
    <t>8.</t>
  </si>
  <si>
    <t>ÖSSZESEN:</t>
  </si>
  <si>
    <t>TARTOZÉKOK</t>
  </si>
  <si>
    <t>Megnevezés</t>
  </si>
  <si>
    <t>db/m</t>
  </si>
  <si>
    <t>ÖSSZESEN (bruttó)</t>
  </si>
  <si>
    <t>Méretbeli módosításra megrendeléstől számított 2 napon van belül lehetőseg! Ezután a méreteket elfogadottnak tekintjük, így méretek tekintetében reklamációt nem fogadunk el!</t>
  </si>
  <si>
    <t>Kiszállításnál sofőrünk egyedül megy, ezért a lepakoláshoz segitség szükséges!</t>
  </si>
  <si>
    <t>Vastagság</t>
  </si>
  <si>
    <t>Szín</t>
  </si>
  <si>
    <t>Aranytölgy</t>
  </si>
  <si>
    <t>Dió</t>
  </si>
  <si>
    <t>Kiszállítás</t>
  </si>
  <si>
    <t>Kis opel csavar</t>
  </si>
  <si>
    <t>ÁRUKIADÁS:</t>
  </si>
  <si>
    <t>Hétfő - Péntek 7:30 - 16:00          Szombat 07:30 - 12:00</t>
  </si>
  <si>
    <t>TETŐPANEL</t>
  </si>
  <si>
    <t>Töltet</t>
  </si>
  <si>
    <t>Szín - RAL</t>
  </si>
  <si>
    <t>Nettó m2/ egységár</t>
  </si>
  <si>
    <t>OLDALPANEL</t>
  </si>
  <si>
    <t>ELŐLEG:</t>
  </si>
  <si>
    <t>VÉGÖSSZEG:</t>
  </si>
  <si>
    <t>Megrendelő:</t>
  </si>
  <si>
    <t>Telefonszám:</t>
  </si>
  <si>
    <t>Szállítási cím:</t>
  </si>
  <si>
    <t>Panel csavar</t>
  </si>
  <si>
    <t>Kalotte</t>
  </si>
  <si>
    <t>ÖSSZESEN (nettó):</t>
  </si>
  <si>
    <t>Rendelés dátuma</t>
  </si>
  <si>
    <t>40 mm</t>
  </si>
  <si>
    <t>60 mm</t>
  </si>
  <si>
    <t>80 mm</t>
  </si>
  <si>
    <t>100 mm</t>
  </si>
  <si>
    <t>PIR</t>
  </si>
  <si>
    <t>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</si>
</sst>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Ft&quot;"/>
    <numFmt numFmtId="165" formatCode="General\ &quot;m&quot;"/>
    <numFmt numFmtId="166" formatCode="General\ &quot;db&quot;"/>
    <numFmt numFmtId="167" formatCode="General\ &quot;m2&quot;"/>
  </numFmts>
  <fonts count="29" x14ac:knownFonts="1">
    <font>
      <sz val="11"/>
      <color theme="1"/>
      <name val="Ubuntu"/>
      <family val="2"/>
      <charset val="238"/>
    </font>
    <font>
      <sz val="11"/>
      <color theme="1"/>
      <name val="Ubuntu"/>
      <family val="2"/>
      <charset val="238"/>
    </font>
    <font>
      <sz val="11"/>
      <color rgb="FF006100"/>
      <name val="Ubuntu"/>
      <family val="2"/>
      <charset val="238"/>
    </font>
    <font>
      <sz val="11"/>
      <color rgb="FF9C0006"/>
      <name val="Ubuntu"/>
      <family val="2"/>
      <charset val="238"/>
    </font>
    <font>
      <sz val="11"/>
      <color rgb="FF9C5700"/>
      <name val="Ubuntu"/>
      <family val="2"/>
      <charset val="238"/>
    </font>
    <font>
      <sz val="11"/>
      <color rgb="FF3F3F76"/>
      <name val="Ubuntu"/>
      <family val="2"/>
      <charset val="238"/>
    </font>
    <font>
      <b/>
      <sz val="11"/>
      <color theme="1"/>
      <name val="Ubuntu"/>
      <family val="2"/>
      <charset val="238"/>
    </font>
    <font>
      <sz val="10"/>
      <color theme="1"/>
      <name val="Ubuntu"/>
      <family val="2"/>
      <charset val="238"/>
    </font>
    <font>
      <b/>
      <sz val="10"/>
      <color theme="1"/>
      <name val="Ubuntu"/>
      <family val="2"/>
      <charset val="238"/>
    </font>
    <font>
      <b/>
      <sz val="12"/>
      <color theme="1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b/>
      <sz val="8"/>
      <color theme="1"/>
      <name val="Ubuntu"/>
      <family val="2"/>
      <charset val="238"/>
    </font>
    <font>
      <b/>
      <sz val="12"/>
      <color theme="0"/>
      <name val="Ubuntu"/>
      <family val="2"/>
      <charset val="238"/>
    </font>
    <font>
      <b/>
      <sz val="11"/>
      <color rgb="FFFF0000"/>
      <name val="Ubuntu"/>
      <family val="2"/>
      <charset val="238"/>
    </font>
    <font>
      <b/>
      <sz val="11"/>
      <color rgb="FF9C5700"/>
      <name val="Ubuntu"/>
      <family val="2"/>
      <charset val="238"/>
    </font>
    <font>
      <b/>
      <sz val="11"/>
      <color rgb="FF006100"/>
      <name val="Ubuntu"/>
      <family val="2"/>
      <charset val="238"/>
    </font>
    <font>
      <b/>
      <sz val="11"/>
      <color rgb="FF9C0006"/>
      <name val="Ubuntu"/>
      <family val="2"/>
      <charset val="238"/>
    </font>
    <font>
      <sz val="11"/>
      <color rgb="FF002060"/>
      <name val="Ubuntu"/>
      <family val="2"/>
      <charset val="238"/>
    </font>
    <font>
      <b/>
      <sz val="11"/>
      <color rgb="FF002060"/>
      <name val="Ubuntu"/>
      <family val="2"/>
      <charset val="238"/>
    </font>
    <font>
      <b/>
      <sz val="11"/>
      <color rgb="FF3F3F76"/>
      <name val="Ubuntu"/>
      <family val="2"/>
      <charset val="238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theme="1"/>
      <name val="Ubuntu"/>
      <family val="2"/>
      <charset val="238"/>
    </font>
    <font>
      <b/>
      <sz val="14"/>
      <color theme="0"/>
      <name val="Ubuntu"/>
      <family val="2"/>
      <charset val="238"/>
    </font>
    <font>
      <b/>
      <sz val="10"/>
      <color rgb="FFFF0000"/>
      <name val="Ubuntu"/>
      <family val="2"/>
      <charset val="238"/>
    </font>
    <font>
      <sz val="12"/>
      <color theme="1"/>
      <name val="Ubuntu"/>
      <family val="2"/>
      <charset val="238"/>
    </font>
    <font>
      <b/>
      <sz val="11"/>
      <color theme="0"/>
      <name val="Ubuntu"/>
      <family val="2"/>
      <charset val="238"/>
    </font>
    <font>
      <b/>
      <sz val="18"/>
      <color theme="0"/>
      <name val="Ubuntu"/>
      <family val="2"/>
      <charset val="238"/>
    </font>
    <font>
      <b/>
      <sz val="10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0" applyNumberFormat="0" applyBorder="0" applyAlignment="0" applyProtection="0"/>
  </cellStyleXfs>
  <cellXfs count="9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0" fontId="11" fillId="0" borderId="13" xfId="0" applyFont="1" applyBorder="1" applyAlignment="1">
      <alignment horizontal="center" vertical="top"/>
    </xf>
    <xf numFmtId="0" fontId="8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8" fillId="0" borderId="2" xfId="0" applyFont="1" applyBorder="1" applyAlignment="1">
      <alignment horizontal="center"/>
    </xf>
    <xf numFmtId="0" fontId="7" fillId="0" borderId="2" xfId="0" applyFont="1" applyBorder="1"/>
    <xf numFmtId="0" fontId="8" fillId="0" borderId="2" xfId="0" applyFont="1" applyBorder="1"/>
    <xf numFmtId="0" fontId="6" fillId="0" borderId="0" xfId="0" applyFont="1"/>
    <xf numFmtId="0" fontId="14" fillId="4" borderId="2" xfId="3" applyFont="1" applyBorder="1"/>
    <xf numFmtId="0" fontId="4" fillId="4" borderId="2" xfId="3" applyBorder="1"/>
    <xf numFmtId="0" fontId="15" fillId="2" borderId="2" xfId="1" applyFont="1" applyBorder="1"/>
    <xf numFmtId="0" fontId="3" fillId="3" borderId="2" xfId="2" applyBorder="1"/>
    <xf numFmtId="0" fontId="4" fillId="4" borderId="2" xfId="3" applyBorder="1" applyAlignment="1">
      <alignment horizontal="center"/>
    </xf>
    <xf numFmtId="0" fontId="2" fillId="2" borderId="2" xfId="1" applyBorder="1" applyAlignment="1">
      <alignment horizontal="center"/>
    </xf>
    <xf numFmtId="0" fontId="16" fillId="3" borderId="2" xfId="2" applyFont="1" applyBorder="1" applyAlignment="1">
      <alignment horizontal="center"/>
    </xf>
    <xf numFmtId="0" fontId="18" fillId="6" borderId="2" xfId="5" applyFont="1" applyBorder="1" applyAlignment="1">
      <alignment horizontal="center"/>
    </xf>
    <xf numFmtId="0" fontId="17" fillId="6" borderId="2" xfId="5" applyFont="1" applyBorder="1" applyAlignment="1">
      <alignment horizontal="center"/>
    </xf>
    <xf numFmtId="0" fontId="5" fillId="5" borderId="1" xfId="4" applyAlignment="1">
      <alignment horizontal="center"/>
    </xf>
    <xf numFmtId="0" fontId="19" fillId="5" borderId="1" xfId="4" applyFont="1" applyAlignment="1">
      <alignment horizontal="center"/>
    </xf>
    <xf numFmtId="0" fontId="21" fillId="0" borderId="2" xfId="0" applyFont="1" applyBorder="1"/>
    <xf numFmtId="0" fontId="4" fillId="4" borderId="0" xfId="3"/>
    <xf numFmtId="0" fontId="5" fillId="5" borderId="1" xfId="4"/>
    <xf numFmtId="0" fontId="22" fillId="0" borderId="9" xfId="0" applyFont="1" applyBorder="1"/>
    <xf numFmtId="166" fontId="20" fillId="0" borderId="2" xfId="0" applyNumberFormat="1" applyFont="1" applyBorder="1" applyAlignment="1">
      <alignment horizontal="center" vertical="center"/>
    </xf>
    <xf numFmtId="14" fontId="22" fillId="0" borderId="9" xfId="0" applyNumberFormat="1" applyFont="1" applyBorder="1"/>
    <xf numFmtId="0" fontId="4" fillId="4" borderId="16" xfId="3" applyBorder="1"/>
    <xf numFmtId="164" fontId="20" fillId="0" borderId="14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25" fillId="0" borderId="9" xfId="0" applyFont="1" applyBorder="1"/>
    <xf numFmtId="0" fontId="12" fillId="9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167" fontId="28" fillId="0" borderId="2" xfId="0" applyNumberFormat="1" applyFont="1" applyBorder="1" applyAlignment="1">
      <alignment horizontal="center" vertical="center"/>
    </xf>
    <xf numFmtId="164" fontId="28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wrapText="1"/>
    </xf>
    <xf numFmtId="0" fontId="11" fillId="0" borderId="11" xfId="0" applyFont="1" applyBorder="1" applyAlignment="1">
      <alignment horizontal="center" wrapText="1"/>
    </xf>
    <xf numFmtId="0" fontId="28" fillId="0" borderId="14" xfId="0" applyFont="1" applyBorder="1" applyAlignment="1">
      <alignment horizontal="center" vertical="center" wrapText="1"/>
    </xf>
    <xf numFmtId="0" fontId="0" fillId="0" borderId="8" xfId="0" applyBorder="1"/>
    <xf numFmtId="0" fontId="0" fillId="0" borderId="3" xfId="0" applyBorder="1"/>
    <xf numFmtId="0" fontId="21" fillId="0" borderId="11" xfId="0" applyFont="1" applyBorder="1" applyAlignment="1">
      <alignment vertical="top"/>
    </xf>
    <xf numFmtId="0" fontId="21" fillId="0" borderId="12" xfId="0" applyFont="1" applyBorder="1" applyAlignment="1">
      <alignment vertical="top"/>
    </xf>
    <xf numFmtId="0" fontId="6" fillId="0" borderId="2" xfId="0" applyFont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164" fontId="21" fillId="0" borderId="8" xfId="0" applyNumberFormat="1" applyFont="1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 vertical="center"/>
    </xf>
    <xf numFmtId="166" fontId="21" fillId="0" borderId="11" xfId="0" applyNumberFormat="1" applyFont="1" applyBorder="1" applyAlignment="1">
      <alignment horizontal="center" vertical="center"/>
    </xf>
    <xf numFmtId="166" fontId="21" fillId="0" borderId="12" xfId="0" applyNumberFormat="1" applyFont="1" applyBorder="1" applyAlignment="1">
      <alignment horizontal="center" vertical="center"/>
    </xf>
    <xf numFmtId="0" fontId="26" fillId="9" borderId="11" xfId="0" applyFont="1" applyFill="1" applyBorder="1" applyAlignment="1">
      <alignment horizontal="center"/>
    </xf>
    <xf numFmtId="0" fontId="27" fillId="9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9" xfId="0" applyFont="1" applyBorder="1" applyAlignment="1">
      <alignment horizontal="left" vertical="center"/>
    </xf>
    <xf numFmtId="0" fontId="24" fillId="0" borderId="14" xfId="0" applyFont="1" applyBorder="1" applyAlignment="1">
      <alignment horizontal="center" wrapText="1"/>
    </xf>
    <xf numFmtId="0" fontId="24" fillId="0" borderId="15" xfId="0" applyFont="1" applyBorder="1" applyAlignment="1">
      <alignment horizontal="center" wrapText="1"/>
    </xf>
    <xf numFmtId="0" fontId="23" fillId="7" borderId="0" xfId="0" applyFont="1" applyFill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horizontal="center" vertical="center"/>
    </xf>
    <xf numFmtId="164" fontId="20" fillId="0" borderId="5" xfId="0" applyNumberFormat="1" applyFont="1" applyBorder="1" applyAlignment="1">
      <alignment horizontal="center" vertical="center"/>
    </xf>
    <xf numFmtId="164" fontId="20" fillId="0" borderId="8" xfId="0" applyNumberFormat="1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center" vertical="center"/>
    </xf>
    <xf numFmtId="166" fontId="20" fillId="0" borderId="11" xfId="0" applyNumberFormat="1" applyFont="1" applyBorder="1" applyAlignment="1">
      <alignment horizontal="center" vertical="center"/>
    </xf>
    <xf numFmtId="166" fontId="20" fillId="0" borderId="12" xfId="0" applyNumberFormat="1" applyFont="1" applyBorder="1" applyAlignment="1">
      <alignment horizontal="center" vertical="center"/>
    </xf>
    <xf numFmtId="164" fontId="20" fillId="0" borderId="14" xfId="0" applyNumberFormat="1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0" xfId="0" applyBorder="1"/>
    <xf numFmtId="0" fontId="8" fillId="8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wrapText="1"/>
    </xf>
  </cellXfs>
  <cellStyles count="6">
    <cellStyle name="20% - 1. jelölőszín" xfId="5" builtinId="30"/>
    <cellStyle name="Bevitel" xfId="4" builtinId="20"/>
    <cellStyle name="Jó" xfId="1" builtinId="26"/>
    <cellStyle name="Normál" xfId="0" builtinId="0"/>
    <cellStyle name="Rossz" xfId="2" builtinId="27"/>
    <cellStyle name="Semleges" xfId="3" builtinId="28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A2D9-5B58-4E04-B264-6C44E7C397ED}">
  <sheetPr>
    <tabColor theme="8"/>
  </sheetPr>
  <dimension ref="A1:L48"/>
  <sheetViews>
    <sheetView tabSelected="1" view="pageLayout" topLeftCell="A19" zoomScaleNormal="100" workbookViewId="0">
      <selection activeCell="E27" sqref="E27"/>
    </sheetView>
  </sheetViews>
  <sheetFormatPr defaultRowHeight="15.75" x14ac:dyDescent="0.25"/>
  <cols>
    <col min="1" max="1" width="3" bestFit="1" customWidth="1"/>
    <col min="2" max="2" width="12" bestFit="1" customWidth="1"/>
    <col min="3" max="3" width="12.5" customWidth="1"/>
    <col min="4" max="4" width="8" customWidth="1"/>
    <col min="5" max="6" width="10.75" customWidth="1"/>
    <col min="7" max="7" width="10.5" customWidth="1"/>
  </cols>
  <sheetData>
    <row r="1" spans="1:9" ht="19.5" customHeight="1" x14ac:dyDescent="0.25">
      <c r="A1" s="68" t="s">
        <v>36</v>
      </c>
      <c r="B1" s="68"/>
      <c r="E1" s="70" t="s">
        <v>38</v>
      </c>
      <c r="F1" s="71"/>
      <c r="G1" s="3"/>
      <c r="H1" s="3"/>
      <c r="I1" s="3"/>
    </row>
    <row r="2" spans="1:9" ht="25.5" customHeight="1" x14ac:dyDescent="0.3">
      <c r="A2" s="69"/>
      <c r="B2" s="69"/>
      <c r="C2" s="29"/>
      <c r="D2" s="27"/>
      <c r="E2" s="70" t="s">
        <v>39</v>
      </c>
      <c r="F2" s="71"/>
      <c r="G2" s="3"/>
      <c r="H2" s="3"/>
      <c r="I2" s="3"/>
    </row>
    <row r="3" spans="1:9" ht="27.75" customHeight="1" x14ac:dyDescent="0.25">
      <c r="A3" s="72" t="s">
        <v>37</v>
      </c>
      <c r="B3" s="72"/>
      <c r="C3" s="32"/>
      <c r="D3" s="3"/>
      <c r="E3" s="70" t="s">
        <v>40</v>
      </c>
      <c r="F3" s="71"/>
      <c r="G3" s="33"/>
      <c r="H3" s="3"/>
      <c r="I3" s="3"/>
    </row>
    <row r="5" spans="1:9" ht="14.25" customHeight="1" x14ac:dyDescent="0.25">
      <c r="B5" s="67" t="s">
        <v>31</v>
      </c>
      <c r="C5" s="67"/>
      <c r="D5" s="34" t="s">
        <v>32</v>
      </c>
      <c r="E5" s="34" t="s">
        <v>33</v>
      </c>
      <c r="F5" s="34" t="s">
        <v>23</v>
      </c>
      <c r="G5" s="49" t="s">
        <v>34</v>
      </c>
      <c r="H5" s="49"/>
      <c r="I5" s="6" t="s">
        <v>0</v>
      </c>
    </row>
    <row r="6" spans="1:9" ht="22.5" customHeight="1" x14ac:dyDescent="0.25">
      <c r="B6" s="67"/>
      <c r="C6" s="67"/>
      <c r="D6" s="48"/>
      <c r="E6" s="48"/>
      <c r="F6" s="48"/>
      <c r="G6" s="54"/>
      <c r="H6" s="54"/>
      <c r="I6" s="4"/>
    </row>
    <row r="7" spans="1:9" ht="28.5" x14ac:dyDescent="0.3">
      <c r="A7" s="8"/>
      <c r="B7" s="35" t="s">
        <v>1</v>
      </c>
      <c r="C7" s="35" t="s">
        <v>2</v>
      </c>
      <c r="D7" s="35" t="s">
        <v>3</v>
      </c>
      <c r="E7" s="35" t="s">
        <v>4</v>
      </c>
      <c r="F7" s="35" t="s">
        <v>5</v>
      </c>
      <c r="G7" s="35" t="s">
        <v>6</v>
      </c>
      <c r="H7" s="43" t="s">
        <v>7</v>
      </c>
      <c r="I7" s="42" t="s">
        <v>44</v>
      </c>
    </row>
    <row r="8" spans="1:9" x14ac:dyDescent="0.25">
      <c r="A8" s="10" t="s">
        <v>8</v>
      </c>
      <c r="B8" s="36">
        <v>1</v>
      </c>
      <c r="C8" s="36"/>
      <c r="D8" s="28"/>
      <c r="E8" s="37">
        <f t="shared" ref="E8:E13" si="0">B8*C8*D8</f>
        <v>0</v>
      </c>
      <c r="F8" s="38">
        <f>$G$6</f>
        <v>0</v>
      </c>
      <c r="G8" s="38">
        <f>E8*F8</f>
        <v>0</v>
      </c>
      <c r="H8" s="31">
        <f>G8*1.27</f>
        <v>0</v>
      </c>
      <c r="I8" s="5"/>
    </row>
    <row r="9" spans="1:9" x14ac:dyDescent="0.25">
      <c r="A9" s="10" t="s">
        <v>9</v>
      </c>
      <c r="B9" s="36">
        <v>1</v>
      </c>
      <c r="C9" s="36"/>
      <c r="D9" s="28"/>
      <c r="E9" s="37">
        <f t="shared" si="0"/>
        <v>0</v>
      </c>
      <c r="F9" s="38">
        <f t="shared" ref="F9:F14" si="1">$G$6</f>
        <v>0</v>
      </c>
      <c r="G9" s="38">
        <f t="shared" ref="G9:G14" si="2">E9*F9</f>
        <v>0</v>
      </c>
      <c r="H9" s="31">
        <f t="shared" ref="H9:H14" si="3">G9*1.27</f>
        <v>0</v>
      </c>
      <c r="I9" s="4"/>
    </row>
    <row r="10" spans="1:9" x14ac:dyDescent="0.25">
      <c r="A10" s="10" t="s">
        <v>10</v>
      </c>
      <c r="B10" s="36">
        <v>1</v>
      </c>
      <c r="C10" s="36"/>
      <c r="D10" s="28"/>
      <c r="E10" s="37">
        <f t="shared" si="0"/>
        <v>0</v>
      </c>
      <c r="F10" s="38">
        <f t="shared" si="1"/>
        <v>0</v>
      </c>
      <c r="G10" s="38">
        <f t="shared" si="2"/>
        <v>0</v>
      </c>
      <c r="H10" s="38">
        <f t="shared" si="3"/>
        <v>0</v>
      </c>
      <c r="I10" s="2"/>
    </row>
    <row r="11" spans="1:9" x14ac:dyDescent="0.25">
      <c r="A11" s="10" t="s">
        <v>11</v>
      </c>
      <c r="B11" s="36">
        <v>1</v>
      </c>
      <c r="C11" s="36"/>
      <c r="D11" s="28"/>
      <c r="E11" s="37">
        <f t="shared" si="0"/>
        <v>0</v>
      </c>
      <c r="F11" s="38">
        <f t="shared" si="1"/>
        <v>0</v>
      </c>
      <c r="G11" s="38">
        <f t="shared" si="2"/>
        <v>0</v>
      </c>
      <c r="H11" s="38">
        <f t="shared" si="3"/>
        <v>0</v>
      </c>
      <c r="I11" s="2"/>
    </row>
    <row r="12" spans="1:9" x14ac:dyDescent="0.25">
      <c r="A12" s="10" t="s">
        <v>12</v>
      </c>
      <c r="B12" s="36">
        <v>1</v>
      </c>
      <c r="C12" s="36"/>
      <c r="D12" s="28"/>
      <c r="E12" s="37">
        <f t="shared" si="0"/>
        <v>0</v>
      </c>
      <c r="F12" s="38">
        <f t="shared" si="1"/>
        <v>0</v>
      </c>
      <c r="G12" s="38">
        <f t="shared" si="2"/>
        <v>0</v>
      </c>
      <c r="H12" s="38">
        <f t="shared" si="3"/>
        <v>0</v>
      </c>
      <c r="I12" s="2"/>
    </row>
    <row r="13" spans="1:9" x14ac:dyDescent="0.25">
      <c r="A13" s="10" t="s">
        <v>13</v>
      </c>
      <c r="B13" s="36">
        <v>1</v>
      </c>
      <c r="C13" s="36"/>
      <c r="D13" s="28"/>
      <c r="E13" s="37">
        <f t="shared" si="0"/>
        <v>0</v>
      </c>
      <c r="F13" s="38">
        <f t="shared" si="1"/>
        <v>0</v>
      </c>
      <c r="G13" s="38">
        <f t="shared" si="2"/>
        <v>0</v>
      </c>
      <c r="H13" s="38">
        <f t="shared" si="3"/>
        <v>0</v>
      </c>
      <c r="I13" s="2"/>
    </row>
    <row r="14" spans="1:9" x14ac:dyDescent="0.25">
      <c r="A14" s="10"/>
      <c r="B14" s="50" t="s">
        <v>16</v>
      </c>
      <c r="C14" s="50"/>
      <c r="D14" s="50"/>
      <c r="E14" s="39">
        <f>SUM(E8:E13)</f>
        <v>0</v>
      </c>
      <c r="F14" s="38">
        <f t="shared" si="1"/>
        <v>0</v>
      </c>
      <c r="G14" s="40">
        <f t="shared" si="2"/>
        <v>0</v>
      </c>
      <c r="H14" s="40">
        <f t="shared" si="3"/>
        <v>0</v>
      </c>
      <c r="I14" s="2"/>
    </row>
    <row r="15" spans="1:9" ht="6.75" customHeight="1" x14ac:dyDescent="0.25">
      <c r="A15" s="45"/>
      <c r="I15" s="2"/>
    </row>
    <row r="16" spans="1:9" ht="14.25" customHeight="1" x14ac:dyDescent="0.25">
      <c r="A16" s="1"/>
      <c r="B16" s="67" t="s">
        <v>35</v>
      </c>
      <c r="C16" s="67"/>
      <c r="D16" s="34" t="s">
        <v>32</v>
      </c>
      <c r="E16" s="34" t="s">
        <v>33</v>
      </c>
      <c r="F16" s="34" t="s">
        <v>23</v>
      </c>
      <c r="G16" s="49" t="s">
        <v>34</v>
      </c>
      <c r="H16" s="49"/>
      <c r="I16" s="2"/>
    </row>
    <row r="17" spans="1:9" ht="24" customHeight="1" x14ac:dyDescent="0.25">
      <c r="A17" s="44"/>
      <c r="B17" s="67"/>
      <c r="C17" s="67"/>
      <c r="D17" s="48"/>
      <c r="E17" s="48"/>
      <c r="F17" s="48"/>
      <c r="G17" s="54"/>
      <c r="H17" s="54"/>
      <c r="I17" s="2"/>
    </row>
    <row r="18" spans="1:9" ht="25.5" x14ac:dyDescent="0.25">
      <c r="A18" s="8"/>
      <c r="B18" s="35" t="s">
        <v>1</v>
      </c>
      <c r="C18" s="35" t="s">
        <v>2</v>
      </c>
      <c r="D18" s="35" t="s">
        <v>3</v>
      </c>
      <c r="E18" s="35" t="s">
        <v>4</v>
      </c>
      <c r="F18" s="35" t="s">
        <v>5</v>
      </c>
      <c r="G18" s="35" t="s">
        <v>6</v>
      </c>
      <c r="H18" s="35" t="s">
        <v>7</v>
      </c>
      <c r="I18" s="2"/>
    </row>
    <row r="19" spans="1:9" x14ac:dyDescent="0.25">
      <c r="A19" s="10" t="s">
        <v>8</v>
      </c>
      <c r="B19" s="36">
        <v>1</v>
      </c>
      <c r="C19" s="36"/>
      <c r="D19" s="28"/>
      <c r="E19" s="37">
        <f t="shared" ref="E19:E26" si="4">B19*C19*D19</f>
        <v>0</v>
      </c>
      <c r="F19" s="38">
        <f>$G$17</f>
        <v>0</v>
      </c>
      <c r="G19" s="38">
        <f>E19*F19</f>
        <v>0</v>
      </c>
      <c r="H19" s="38">
        <f>G19*1.27</f>
        <v>0</v>
      </c>
      <c r="I19" s="2"/>
    </row>
    <row r="20" spans="1:9" x14ac:dyDescent="0.25">
      <c r="A20" s="10" t="s">
        <v>9</v>
      </c>
      <c r="B20" s="36">
        <v>1</v>
      </c>
      <c r="C20" s="36"/>
      <c r="D20" s="28"/>
      <c r="E20" s="37">
        <f t="shared" si="4"/>
        <v>0</v>
      </c>
      <c r="F20" s="38">
        <f t="shared" ref="F20:F27" si="5">$G$17</f>
        <v>0</v>
      </c>
      <c r="G20" s="38">
        <f t="shared" ref="G20:G27" si="6">E20*F20</f>
        <v>0</v>
      </c>
      <c r="H20" s="38">
        <f t="shared" ref="H20:H27" si="7">G20*1.27</f>
        <v>0</v>
      </c>
      <c r="I20" s="2"/>
    </row>
    <row r="21" spans="1:9" x14ac:dyDescent="0.25">
      <c r="A21" s="10" t="s">
        <v>10</v>
      </c>
      <c r="B21" s="36">
        <v>1</v>
      </c>
      <c r="C21" s="36"/>
      <c r="D21" s="28"/>
      <c r="E21" s="37">
        <f t="shared" si="4"/>
        <v>0</v>
      </c>
      <c r="F21" s="38">
        <f t="shared" si="5"/>
        <v>0</v>
      </c>
      <c r="G21" s="38">
        <f t="shared" si="6"/>
        <v>0</v>
      </c>
      <c r="H21" s="38">
        <f t="shared" si="7"/>
        <v>0</v>
      </c>
      <c r="I21" s="2"/>
    </row>
    <row r="22" spans="1:9" x14ac:dyDescent="0.25">
      <c r="A22" s="10" t="s">
        <v>11</v>
      </c>
      <c r="B22" s="36">
        <v>1</v>
      </c>
      <c r="C22" s="36"/>
      <c r="D22" s="28"/>
      <c r="E22" s="37">
        <f t="shared" si="4"/>
        <v>0</v>
      </c>
      <c r="F22" s="38">
        <f t="shared" si="5"/>
        <v>0</v>
      </c>
      <c r="G22" s="38">
        <f t="shared" si="6"/>
        <v>0</v>
      </c>
      <c r="H22" s="38">
        <f t="shared" si="7"/>
        <v>0</v>
      </c>
      <c r="I22" s="2"/>
    </row>
    <row r="23" spans="1:9" x14ac:dyDescent="0.25">
      <c r="A23" s="10" t="s">
        <v>12</v>
      </c>
      <c r="B23" s="36">
        <v>1</v>
      </c>
      <c r="C23" s="36"/>
      <c r="D23" s="28"/>
      <c r="E23" s="37">
        <f t="shared" si="4"/>
        <v>0</v>
      </c>
      <c r="F23" s="38">
        <f t="shared" si="5"/>
        <v>0</v>
      </c>
      <c r="G23" s="38">
        <f t="shared" si="6"/>
        <v>0</v>
      </c>
      <c r="H23" s="38">
        <f t="shared" si="7"/>
        <v>0</v>
      </c>
      <c r="I23" s="2"/>
    </row>
    <row r="24" spans="1:9" x14ac:dyDescent="0.25">
      <c r="A24" s="10" t="s">
        <v>13</v>
      </c>
      <c r="B24" s="36">
        <v>1</v>
      </c>
      <c r="C24" s="36"/>
      <c r="D24" s="28"/>
      <c r="E24" s="37">
        <f t="shared" si="4"/>
        <v>0</v>
      </c>
      <c r="F24" s="38">
        <f t="shared" si="5"/>
        <v>0</v>
      </c>
      <c r="G24" s="38">
        <f t="shared" si="6"/>
        <v>0</v>
      </c>
      <c r="H24" s="38">
        <f t="shared" si="7"/>
        <v>0</v>
      </c>
      <c r="I24" s="2"/>
    </row>
    <row r="25" spans="1:9" x14ac:dyDescent="0.25">
      <c r="A25" s="10" t="s">
        <v>14</v>
      </c>
      <c r="B25" s="36">
        <v>1</v>
      </c>
      <c r="C25" s="36"/>
      <c r="D25" s="28"/>
      <c r="E25" s="37">
        <f t="shared" si="4"/>
        <v>0</v>
      </c>
      <c r="F25" s="38">
        <f t="shared" si="5"/>
        <v>0</v>
      </c>
      <c r="G25" s="38">
        <f t="shared" si="6"/>
        <v>0</v>
      </c>
      <c r="H25" s="38">
        <f t="shared" si="7"/>
        <v>0</v>
      </c>
      <c r="I25" s="2"/>
    </row>
    <row r="26" spans="1:9" x14ac:dyDescent="0.25">
      <c r="A26" s="10" t="s">
        <v>15</v>
      </c>
      <c r="B26" s="36">
        <v>1</v>
      </c>
      <c r="C26" s="36"/>
      <c r="D26" s="28"/>
      <c r="E26" s="37">
        <f t="shared" si="4"/>
        <v>0</v>
      </c>
      <c r="F26" s="38">
        <f t="shared" si="5"/>
        <v>0</v>
      </c>
      <c r="G26" s="38">
        <f t="shared" si="6"/>
        <v>0</v>
      </c>
      <c r="H26" s="38">
        <f t="shared" si="7"/>
        <v>0</v>
      </c>
      <c r="I26" s="2"/>
    </row>
    <row r="27" spans="1:9" x14ac:dyDescent="0.25">
      <c r="A27" s="10"/>
      <c r="B27" s="50" t="s">
        <v>16</v>
      </c>
      <c r="C27" s="50"/>
      <c r="D27" s="50"/>
      <c r="E27" s="39">
        <f>SUM(E19:E26)</f>
        <v>0</v>
      </c>
      <c r="F27" s="38">
        <f t="shared" si="5"/>
        <v>0</v>
      </c>
      <c r="G27" s="40">
        <f t="shared" si="6"/>
        <v>0</v>
      </c>
      <c r="H27" s="40">
        <f t="shared" si="7"/>
        <v>0</v>
      </c>
      <c r="I27" s="2"/>
    </row>
    <row r="28" spans="1:9" ht="6" customHeight="1" x14ac:dyDescent="0.3">
      <c r="A28" s="1"/>
      <c r="F28" s="12"/>
      <c r="I28" s="2"/>
    </row>
    <row r="29" spans="1:9" ht="16.5" x14ac:dyDescent="0.3">
      <c r="A29" s="1"/>
      <c r="B29" s="66" t="s">
        <v>17</v>
      </c>
      <c r="C29" s="66"/>
      <c r="D29" s="66"/>
      <c r="E29" s="66"/>
      <c r="F29" s="66"/>
      <c r="G29" s="66"/>
      <c r="H29" s="66"/>
      <c r="I29" s="2"/>
    </row>
    <row r="30" spans="1:9" x14ac:dyDescent="0.25">
      <c r="A30" s="1"/>
      <c r="B30" s="11" t="s">
        <v>18</v>
      </c>
      <c r="C30" s="9" t="s">
        <v>19</v>
      </c>
      <c r="D30" s="50" t="s">
        <v>5</v>
      </c>
      <c r="E30" s="50"/>
      <c r="F30" s="50" t="s">
        <v>6</v>
      </c>
      <c r="G30" s="50"/>
      <c r="H30" s="50" t="s">
        <v>7</v>
      </c>
      <c r="I30" s="50"/>
    </row>
    <row r="31" spans="1:9" ht="13.5" customHeight="1" x14ac:dyDescent="0.25">
      <c r="A31" s="1"/>
      <c r="B31" s="46" t="s">
        <v>41</v>
      </c>
      <c r="C31" s="64"/>
      <c r="D31" s="60"/>
      <c r="E31" s="61"/>
      <c r="F31" s="60">
        <f>C31*D31</f>
        <v>0</v>
      </c>
      <c r="G31" s="61"/>
      <c r="H31" s="60">
        <f>F31*1.27</f>
        <v>0</v>
      </c>
      <c r="I31" s="61"/>
    </row>
    <row r="32" spans="1:9" x14ac:dyDescent="0.25">
      <c r="A32" s="1"/>
      <c r="B32" s="47"/>
      <c r="C32" s="65"/>
      <c r="D32" s="62"/>
      <c r="E32" s="63"/>
      <c r="F32" s="62"/>
      <c r="G32" s="63"/>
      <c r="H32" s="62"/>
      <c r="I32" s="63"/>
    </row>
    <row r="33" spans="1:12" x14ac:dyDescent="0.25">
      <c r="A33" s="1"/>
      <c r="B33" s="46" t="s">
        <v>42</v>
      </c>
      <c r="C33" s="64"/>
      <c r="D33" s="60"/>
      <c r="E33" s="61"/>
      <c r="F33" s="60">
        <f t="shared" ref="F33:F39" si="8">C33*D33</f>
        <v>0</v>
      </c>
      <c r="G33" s="61"/>
      <c r="H33" s="60">
        <f t="shared" ref="H33:H40" si="9">F33*1.27</f>
        <v>0</v>
      </c>
      <c r="I33" s="61"/>
    </row>
    <row r="34" spans="1:12" x14ac:dyDescent="0.25">
      <c r="A34" s="1"/>
      <c r="B34" s="47"/>
      <c r="C34" s="65"/>
      <c r="D34" s="62"/>
      <c r="E34" s="63"/>
      <c r="F34" s="62"/>
      <c r="G34" s="63"/>
      <c r="H34" s="62"/>
      <c r="I34" s="63"/>
    </row>
    <row r="35" spans="1:12" x14ac:dyDescent="0.25">
      <c r="A35" s="1"/>
      <c r="B35" s="46" t="s">
        <v>41</v>
      </c>
      <c r="C35" s="64"/>
      <c r="D35" s="60"/>
      <c r="E35" s="61"/>
      <c r="F35" s="60">
        <f t="shared" si="8"/>
        <v>0</v>
      </c>
      <c r="G35" s="61"/>
      <c r="H35" s="60">
        <f t="shared" si="9"/>
        <v>0</v>
      </c>
      <c r="I35" s="61"/>
    </row>
    <row r="36" spans="1:12" x14ac:dyDescent="0.25">
      <c r="A36" s="1"/>
      <c r="B36" s="47"/>
      <c r="C36" s="65"/>
      <c r="D36" s="62"/>
      <c r="E36" s="63"/>
      <c r="F36" s="62"/>
      <c r="G36" s="63"/>
      <c r="H36" s="62"/>
      <c r="I36" s="63"/>
    </row>
    <row r="37" spans="1:12" ht="19.5" customHeight="1" x14ac:dyDescent="0.25">
      <c r="A37" s="1"/>
      <c r="B37" s="46" t="s">
        <v>28</v>
      </c>
      <c r="C37" s="90"/>
      <c r="D37" s="86"/>
      <c r="E37" s="87"/>
      <c r="F37" s="86">
        <f t="shared" si="8"/>
        <v>0</v>
      </c>
      <c r="G37" s="87"/>
      <c r="H37" s="86">
        <f t="shared" si="9"/>
        <v>0</v>
      </c>
      <c r="I37" s="87"/>
    </row>
    <row r="38" spans="1:12" x14ac:dyDescent="0.25">
      <c r="A38" s="1"/>
      <c r="B38" s="47"/>
      <c r="C38" s="91"/>
      <c r="D38" s="88"/>
      <c r="E38" s="89"/>
      <c r="F38" s="88"/>
      <c r="G38" s="89"/>
      <c r="H38" s="88"/>
      <c r="I38" s="89"/>
    </row>
    <row r="39" spans="1:12" x14ac:dyDescent="0.25">
      <c r="A39" s="1"/>
      <c r="B39" s="24" t="s">
        <v>27</v>
      </c>
      <c r="C39" s="28"/>
      <c r="D39" s="92"/>
      <c r="E39" s="93"/>
      <c r="F39" s="92">
        <f t="shared" si="8"/>
        <v>0</v>
      </c>
      <c r="G39" s="93"/>
      <c r="H39" s="92">
        <f t="shared" si="9"/>
        <v>0</v>
      </c>
      <c r="I39" s="93"/>
    </row>
    <row r="40" spans="1:12" x14ac:dyDescent="0.25">
      <c r="A40" s="1"/>
      <c r="B40" s="50" t="s">
        <v>16</v>
      </c>
      <c r="C40" s="50"/>
      <c r="D40" s="50"/>
      <c r="E40" s="50"/>
      <c r="F40" s="51">
        <f>SUM(F31:F39)</f>
        <v>0</v>
      </c>
      <c r="G40" s="52"/>
      <c r="H40" s="53">
        <f t="shared" si="9"/>
        <v>0</v>
      </c>
      <c r="I40" s="53"/>
    </row>
    <row r="41" spans="1:12" x14ac:dyDescent="0.25">
      <c r="A41" s="1"/>
      <c r="I41" s="2"/>
    </row>
    <row r="42" spans="1:12" ht="17.25" customHeight="1" x14ac:dyDescent="0.25">
      <c r="A42" s="1"/>
      <c r="B42" s="56" t="s">
        <v>43</v>
      </c>
      <c r="C42" s="57"/>
      <c r="D42" s="54">
        <f>G14+G27+F40</f>
        <v>0</v>
      </c>
      <c r="E42" s="55"/>
      <c r="F42" s="49" t="s">
        <v>20</v>
      </c>
      <c r="G42" s="49"/>
      <c r="H42" s="54">
        <f>D42*1.27</f>
        <v>0</v>
      </c>
      <c r="I42" s="55"/>
    </row>
    <row r="43" spans="1:12" x14ac:dyDescent="0.25">
      <c r="A43" s="1"/>
      <c r="B43" s="58"/>
      <c r="C43" s="59"/>
      <c r="D43" s="55"/>
      <c r="E43" s="55"/>
      <c r="F43" s="49"/>
      <c r="G43" s="49"/>
      <c r="H43" s="55"/>
      <c r="I43" s="94"/>
      <c r="J43" s="95"/>
    </row>
    <row r="44" spans="1:12" x14ac:dyDescent="0.25">
      <c r="A44" s="44"/>
      <c r="I44" s="95"/>
      <c r="J44" s="95"/>
    </row>
    <row r="45" spans="1:12" ht="28.5" customHeight="1" x14ac:dyDescent="0.3">
      <c r="A45" s="73" t="s">
        <v>21</v>
      </c>
      <c r="B45" s="74"/>
      <c r="C45" s="74"/>
      <c r="D45" s="74"/>
      <c r="E45" s="74"/>
      <c r="F45" s="74"/>
      <c r="G45" s="74"/>
      <c r="H45" s="74"/>
      <c r="I45" s="74"/>
      <c r="J45" s="97"/>
      <c r="K45" s="41"/>
      <c r="L45" s="41"/>
    </row>
    <row r="46" spans="1:12" ht="21" customHeight="1" x14ac:dyDescent="0.3">
      <c r="A46" s="80" t="s">
        <v>22</v>
      </c>
      <c r="B46" s="81"/>
      <c r="C46" s="81"/>
      <c r="D46" s="82"/>
      <c r="E46" s="75" t="s">
        <v>29</v>
      </c>
      <c r="F46" s="75"/>
      <c r="G46" s="76" t="s">
        <v>30</v>
      </c>
      <c r="H46" s="77"/>
      <c r="I46" s="96"/>
      <c r="J46" s="97"/>
      <c r="K46" s="41"/>
      <c r="L46" s="41"/>
    </row>
    <row r="47" spans="1:12" ht="12.75" customHeight="1" x14ac:dyDescent="0.3">
      <c r="A47" s="83"/>
      <c r="B47" s="84"/>
      <c r="C47" s="84"/>
      <c r="D47" s="85"/>
      <c r="E47" s="75"/>
      <c r="F47" s="75"/>
      <c r="G47" s="78"/>
      <c r="H47" s="79"/>
      <c r="I47" s="79"/>
      <c r="J47" s="97"/>
      <c r="K47" s="41"/>
      <c r="L47" s="41"/>
    </row>
    <row r="48" spans="1:12" x14ac:dyDescent="0.25">
      <c r="J48" s="95"/>
    </row>
  </sheetData>
  <mergeCells count="47">
    <mergeCell ref="A45:I45"/>
    <mergeCell ref="E46:F47"/>
    <mergeCell ref="G46:I47"/>
    <mergeCell ref="A46:D47"/>
    <mergeCell ref="H35:I36"/>
    <mergeCell ref="F35:G36"/>
    <mergeCell ref="D35:E36"/>
    <mergeCell ref="C35:C36"/>
    <mergeCell ref="H37:I38"/>
    <mergeCell ref="F37:G38"/>
    <mergeCell ref="D37:E38"/>
    <mergeCell ref="C37:C38"/>
    <mergeCell ref="F39:G39"/>
    <mergeCell ref="H39:I39"/>
    <mergeCell ref="D39:E39"/>
    <mergeCell ref="D42:E43"/>
    <mergeCell ref="A1:B2"/>
    <mergeCell ref="E1:F1"/>
    <mergeCell ref="E2:F2"/>
    <mergeCell ref="A3:B3"/>
    <mergeCell ref="E3:F3"/>
    <mergeCell ref="B5:C6"/>
    <mergeCell ref="G5:H5"/>
    <mergeCell ref="G6:H6"/>
    <mergeCell ref="B14:D14"/>
    <mergeCell ref="B16:C17"/>
    <mergeCell ref="G16:H16"/>
    <mergeCell ref="G17:H17"/>
    <mergeCell ref="D30:E30"/>
    <mergeCell ref="F30:G30"/>
    <mergeCell ref="H30:I30"/>
    <mergeCell ref="B27:D27"/>
    <mergeCell ref="B29:H29"/>
    <mergeCell ref="H31:I32"/>
    <mergeCell ref="F31:G32"/>
    <mergeCell ref="D31:E32"/>
    <mergeCell ref="C31:C32"/>
    <mergeCell ref="H33:I34"/>
    <mergeCell ref="F33:G34"/>
    <mergeCell ref="D33:E34"/>
    <mergeCell ref="C33:C34"/>
    <mergeCell ref="F42:G43"/>
    <mergeCell ref="B40:E40"/>
    <mergeCell ref="F40:G40"/>
    <mergeCell ref="H40:I40"/>
    <mergeCell ref="H42:I43"/>
    <mergeCell ref="B42:C43"/>
  </mergeCells>
  <pageMargins left="0.25" right="0.25" top="0.75" bottom="0.75" header="0.3" footer="0.3"/>
  <pageSetup paperSize="9" fitToWidth="0" fitToHeight="0" orientation="portrait" r:id="rId1"/>
  <headerFooter>
    <oddHeader>&amp;L&amp;G&amp;C&amp;"Ubuntu,Félkövér"&amp;16&amp;KC00000MEGRENDELŐLAP
&amp;10&amp;UAz ár érvényesség ideje 1 nap.&amp;R&amp;10Áraink &amp;"Ubuntu,Félkövér"nettó &amp;"Ubuntu,Normál"árak az 
&amp;"Ubuntu,Félkövér"ÁFÁ-t &amp;12nem&amp;"Ubuntu,Normál" &amp;10tartalmazzák</oddHeader>
    <oddFooter>&amp;Linfo@nyiregyhazalemezkereskedes.hu&amp;C&amp;10+36-30/203-07-19
+36-30/326-73-33
+36-30/203-09-19&amp;RNyitvatartás:
Hétfőtől - Péntekig 7:30 - 16:30
Szombat 7:30 - 12:30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7F1BB7-9E04-470B-84C1-6B82CF011A54}">
          <x14:formula1>
            <xm:f>'Szendvicspanel adatok'!$F$2:$F$3</xm:f>
          </x14:formula1>
          <xm:sqref>D6 D17</xm:sqref>
        </x14:dataValidation>
        <x14:dataValidation type="list" allowBlank="1" showInputMessage="1" showErrorMessage="1" xr:uid="{F5AA8624-2165-42EA-BB85-17BF7B88BF5D}">
          <x14:formula1>
            <xm:f>'Szendvicspanel adatok'!$J$2:$J$8</xm:f>
          </x14:formula1>
          <xm:sqref>E6 E17</xm:sqref>
        </x14:dataValidation>
        <x14:dataValidation type="list" allowBlank="1" showInputMessage="1" showErrorMessage="1" xr:uid="{D3F1C053-BF34-4CED-9035-4CDCCCEBBDD3}">
          <x14:formula1>
            <xm:f>'Szendvicspanel adatok'!$D$2:$D$5</xm:f>
          </x14:formula1>
          <xm:sqref>F6 F17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BCB4-30DB-4009-8AB9-8BC506FCFA76}">
  <sheetPr>
    <tabColor theme="8" tint="0.79998168889431442"/>
  </sheetPr>
  <dimension ref="A1:J22"/>
  <sheetViews>
    <sheetView workbookViewId="0">
      <selection sqref="A1:B22"/>
    </sheetView>
  </sheetViews>
  <sheetFormatPr defaultRowHeight="15.75" x14ac:dyDescent="0.25"/>
  <cols>
    <col min="1" max="1" width="16.5" bestFit="1" customWidth="1"/>
    <col min="2" max="2" width="15.5" bestFit="1" customWidth="1"/>
    <col min="4" max="4" width="12.25" bestFit="1" customWidth="1"/>
    <col min="6" max="6" width="15" bestFit="1" customWidth="1"/>
    <col min="10" max="10" width="16.375" bestFit="1" customWidth="1"/>
  </cols>
  <sheetData>
    <row r="1" spans="1:10" ht="16.5" x14ac:dyDescent="0.3">
      <c r="A1" s="13"/>
      <c r="B1" s="13"/>
      <c r="C1" s="12"/>
      <c r="D1" s="15" t="s">
        <v>23</v>
      </c>
      <c r="E1" s="12"/>
      <c r="F1" s="19" t="s">
        <v>32</v>
      </c>
      <c r="H1" s="20"/>
      <c r="J1" s="23" t="s">
        <v>24</v>
      </c>
    </row>
    <row r="2" spans="1:10" x14ac:dyDescent="0.25">
      <c r="A2" s="14"/>
      <c r="B2" s="17"/>
      <c r="D2" s="18" t="s">
        <v>45</v>
      </c>
      <c r="F2" s="16" t="s">
        <v>49</v>
      </c>
      <c r="H2" s="21"/>
      <c r="J2" s="22">
        <v>7016</v>
      </c>
    </row>
    <row r="3" spans="1:10" x14ac:dyDescent="0.25">
      <c r="A3" s="14"/>
      <c r="B3" s="17"/>
      <c r="D3" s="18" t="s">
        <v>46</v>
      </c>
      <c r="F3" s="16" t="s">
        <v>50</v>
      </c>
      <c r="H3" s="21"/>
      <c r="J3" s="22">
        <v>8017</v>
      </c>
    </row>
    <row r="4" spans="1:10" x14ac:dyDescent="0.25">
      <c r="A4" s="14"/>
      <c r="B4" s="17"/>
      <c r="D4" s="18" t="s">
        <v>47</v>
      </c>
      <c r="F4" s="16"/>
      <c r="J4" s="22">
        <v>9002</v>
      </c>
    </row>
    <row r="5" spans="1:10" x14ac:dyDescent="0.25">
      <c r="A5" s="14"/>
      <c r="B5" s="17"/>
      <c r="D5" s="18" t="s">
        <v>48</v>
      </c>
      <c r="F5" s="16"/>
      <c r="J5" s="22">
        <v>9006</v>
      </c>
    </row>
    <row r="6" spans="1:10" x14ac:dyDescent="0.25">
      <c r="A6" s="14"/>
      <c r="B6" s="17"/>
      <c r="D6" s="18"/>
      <c r="F6" s="16"/>
      <c r="J6" s="22">
        <v>9007</v>
      </c>
    </row>
    <row r="7" spans="1:10" x14ac:dyDescent="0.25">
      <c r="A7" s="14"/>
      <c r="B7" s="17"/>
      <c r="D7" s="7"/>
      <c r="F7" s="16"/>
      <c r="J7" s="26" t="s">
        <v>25</v>
      </c>
    </row>
    <row r="8" spans="1:10" x14ac:dyDescent="0.25">
      <c r="A8" s="14"/>
      <c r="B8" s="17"/>
      <c r="F8" s="16"/>
      <c r="J8" s="26" t="s">
        <v>26</v>
      </c>
    </row>
    <row r="9" spans="1:10" x14ac:dyDescent="0.25">
      <c r="A9" s="30"/>
      <c r="B9" s="17"/>
      <c r="F9" s="16"/>
    </row>
    <row r="10" spans="1:10" x14ac:dyDescent="0.25">
      <c r="A10" s="25"/>
      <c r="B10" s="17"/>
    </row>
    <row r="11" spans="1:10" x14ac:dyDescent="0.25">
      <c r="A11" s="14"/>
      <c r="B11" s="17"/>
    </row>
    <row r="12" spans="1:10" x14ac:dyDescent="0.25">
      <c r="A12" s="14"/>
      <c r="B12" s="17"/>
    </row>
    <row r="13" spans="1:10" x14ac:dyDescent="0.25">
      <c r="A13" s="14"/>
      <c r="B13" s="17"/>
    </row>
    <row r="14" spans="1:10" x14ac:dyDescent="0.25">
      <c r="A14" s="14"/>
      <c r="B14" s="17"/>
    </row>
    <row r="15" spans="1:10" x14ac:dyDescent="0.25">
      <c r="A15" s="14"/>
      <c r="B15" s="17"/>
    </row>
    <row r="16" spans="1:10" x14ac:dyDescent="0.25">
      <c r="A16" s="14"/>
      <c r="B16" s="17"/>
    </row>
    <row r="17" spans="1:2" x14ac:dyDescent="0.25">
      <c r="A17" s="14"/>
      <c r="B17" s="17"/>
    </row>
    <row r="18" spans="1:2" x14ac:dyDescent="0.25">
      <c r="A18" s="14"/>
      <c r="B18" s="17"/>
    </row>
    <row r="19" spans="1:2" x14ac:dyDescent="0.25">
      <c r="A19" s="14"/>
      <c r="B19" s="17"/>
    </row>
    <row r="20" spans="1:2" x14ac:dyDescent="0.25">
      <c r="A20" s="14"/>
      <c r="B20" s="17"/>
    </row>
    <row r="21" spans="1:2" x14ac:dyDescent="0.25">
      <c r="A21" s="14"/>
      <c r="B21" s="17"/>
    </row>
    <row r="22" spans="1:2" x14ac:dyDescent="0.25">
      <c r="A22" s="14"/>
      <c r="B2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Szendvicspanel</vt:lpstr>
      <vt:lpstr>Szendvicspanel adatok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cp:lastPrinted>2026-02-16T12:12:02Z</cp:lastPrinted>
  <dcterms:created xsi:type="dcterms:W3CDTF">2024-02-13T10:18:11Z</dcterms:created>
  <dcterms:modified xsi:type="dcterms:W3CDTF">2026-02-16T12:12:13Z</dcterms:modified>
</cp:coreProperties>
</file>
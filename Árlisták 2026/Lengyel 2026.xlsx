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6\"/>
    </mc:Choice>
  </mc:AlternateContent>
  <xr:revisionPtr revIDLastSave="0" documentId="13_ncr:1_{F44863A1-846B-46C7-82C5-794218500392}" xr6:coauthVersionLast="47" xr6:coauthVersionMax="47" xr10:uidLastSave="{00000000-0000-0000-0000-000000000000}"/>
  <bookViews>
    <workbookView xWindow="-120" yWindow="-120" windowWidth="29040" windowHeight="15840" xr2:uid="{94E1E3B3-11A0-43CD-8450-24F860358EBC}"/>
  </bookViews>
  <sheets>
    <sheet name="410-es euro" sheetId="3" r:id="rId1"/>
    <sheet name="420-as euro" sheetId="1" r:id="rId2"/>
    <sheet name="Munk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3" l="1"/>
  <c r="H4" i="3"/>
  <c r="H5" i="3"/>
  <c r="H6" i="3"/>
  <c r="H7" i="3"/>
  <c r="H8" i="3"/>
  <c r="H9" i="3"/>
  <c r="H10" i="3"/>
  <c r="H11" i="3"/>
  <c r="H12" i="3"/>
  <c r="H14" i="3"/>
  <c r="H16" i="3"/>
  <c r="H18" i="3"/>
  <c r="H19" i="3"/>
  <c r="H21" i="3"/>
  <c r="H22" i="3"/>
  <c r="H24" i="3"/>
  <c r="H25" i="3"/>
  <c r="H26" i="3"/>
  <c r="H27" i="3"/>
  <c r="H29" i="3"/>
  <c r="H3" i="3"/>
  <c r="F3" i="3"/>
  <c r="F4" i="3"/>
  <c r="F5" i="3"/>
  <c r="F6" i="3"/>
  <c r="F7" i="3"/>
  <c r="F8" i="3"/>
  <c r="F9" i="3"/>
  <c r="F10" i="3"/>
  <c r="F11" i="3"/>
  <c r="F12" i="3"/>
  <c r="F14" i="3"/>
  <c r="F16" i="3"/>
  <c r="F18" i="3"/>
  <c r="F19" i="3"/>
  <c r="F20" i="3"/>
  <c r="F21" i="3"/>
  <c r="F22" i="3"/>
  <c r="F23" i="3"/>
  <c r="F24" i="3"/>
  <c r="F26" i="3"/>
  <c r="F27" i="3"/>
  <c r="F29" i="3"/>
  <c r="D3" i="3"/>
  <c r="D4" i="3"/>
  <c r="D5" i="3"/>
  <c r="D6" i="3"/>
  <c r="D7" i="3"/>
  <c r="D8" i="3"/>
  <c r="D9" i="3"/>
  <c r="D10" i="3"/>
  <c r="D11" i="3"/>
  <c r="D12" i="3"/>
  <c r="D14" i="3"/>
  <c r="D16" i="3"/>
  <c r="D18" i="3"/>
  <c r="D19" i="3"/>
  <c r="D21" i="3"/>
  <c r="D22" i="3"/>
  <c r="D24" i="3"/>
  <c r="D25" i="3"/>
  <c r="D26" i="3"/>
  <c r="D27" i="3"/>
  <c r="D29" i="3"/>
  <c r="Q25" i="2"/>
  <c r="Q24" i="2"/>
  <c r="E25" i="2"/>
  <c r="E24" i="2"/>
  <c r="K25" i="2"/>
  <c r="K24" i="2"/>
  <c r="Q22" i="2"/>
  <c r="Q20" i="2"/>
  <c r="Q19" i="2"/>
  <c r="Q18" i="2"/>
  <c r="Q17" i="2"/>
  <c r="Q16" i="2"/>
  <c r="Q15" i="2"/>
  <c r="Q14" i="2"/>
  <c r="Q13" i="2"/>
  <c r="Q11" i="2"/>
  <c r="Q10" i="2"/>
  <c r="Q9" i="2"/>
  <c r="Q8" i="2"/>
  <c r="Q7" i="2"/>
  <c r="Q6" i="2"/>
  <c r="Q5" i="2"/>
  <c r="Q4" i="2"/>
  <c r="Q3" i="2"/>
  <c r="Q2" i="2"/>
  <c r="K22" i="2"/>
  <c r="K20" i="2"/>
  <c r="K19" i="2"/>
  <c r="K18" i="2"/>
  <c r="K17" i="2"/>
  <c r="K16" i="2"/>
  <c r="K15" i="2"/>
  <c r="K14" i="2"/>
  <c r="K13" i="2"/>
  <c r="K11" i="2"/>
  <c r="K10" i="2"/>
  <c r="K9" i="2"/>
  <c r="K8" i="2"/>
  <c r="K7" i="2"/>
  <c r="K6" i="2"/>
  <c r="K5" i="2"/>
  <c r="K4" i="2"/>
  <c r="K3" i="2"/>
  <c r="K2" i="2"/>
  <c r="E14" i="2"/>
  <c r="E15" i="2"/>
  <c r="E16" i="2"/>
  <c r="E17" i="2"/>
  <c r="E18" i="2"/>
  <c r="E19" i="2"/>
  <c r="E20" i="2"/>
  <c r="E22" i="2"/>
  <c r="E13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<sst xmlns="http://schemas.openxmlformats.org/spreadsheetml/2006/main" count="247" uniqueCount="59">
  <si>
    <t>Bona Plus</t>
  </si>
  <si>
    <t>Perla Plus</t>
  </si>
  <si>
    <t>Amalfi Plus</t>
  </si>
  <si>
    <t>Beskid Plus</t>
  </si>
  <si>
    <t>Lima Plus</t>
  </si>
  <si>
    <t>PDT-19</t>
  </si>
  <si>
    <t>T-8</t>
  </si>
  <si>
    <t>T-14</t>
  </si>
  <si>
    <t>T-18</t>
  </si>
  <si>
    <t>T-35</t>
  </si>
  <si>
    <t>T-55</t>
  </si>
  <si>
    <t>nettó (cég- FAD)</t>
  </si>
  <si>
    <t>0,45 mm</t>
  </si>
  <si>
    <t>0,5mm</t>
  </si>
  <si>
    <t>STANDARD MATT</t>
  </si>
  <si>
    <t>BONA</t>
  </si>
  <si>
    <t>PERLA</t>
  </si>
  <si>
    <t>AMALFI</t>
  </si>
  <si>
    <t>BESKID</t>
  </si>
  <si>
    <t>LIMA</t>
  </si>
  <si>
    <t>T8</t>
  </si>
  <si>
    <t>T14</t>
  </si>
  <si>
    <t>T18</t>
  </si>
  <si>
    <t>T35</t>
  </si>
  <si>
    <t>T55</t>
  </si>
  <si>
    <t>PDT19</t>
  </si>
  <si>
    <t>PD28/540</t>
  </si>
  <si>
    <t>-</t>
  </si>
  <si>
    <t>FÉNYES</t>
  </si>
  <si>
    <t>ULTRA MATT</t>
  </si>
  <si>
    <t>Fényes</t>
  </si>
  <si>
    <t>0,4 mm</t>
  </si>
  <si>
    <t>0,5 mm</t>
  </si>
  <si>
    <t>1,18m      1,10m</t>
  </si>
  <si>
    <t>1,15m     1,06m</t>
  </si>
  <si>
    <t>1,20m     1,14m</t>
  </si>
  <si>
    <t>1,20m     1,13m</t>
  </si>
  <si>
    <t>1,202m     1,171m</t>
  </si>
  <si>
    <t>1,095m     1,065m</t>
  </si>
  <si>
    <t>PD 28/540</t>
  </si>
  <si>
    <t>0,54m     0,49m</t>
  </si>
  <si>
    <t>1,19m     1,17m</t>
  </si>
  <si>
    <t>1,16m     1,12m</t>
  </si>
  <si>
    <t>1,14m     1,10m</t>
  </si>
  <si>
    <t>1,08m     1,05m</t>
  </si>
  <si>
    <t>1,04m     1,00m</t>
  </si>
  <si>
    <t>GÉPEN MEGNÉZNI MIBŐL MILYEN VASTAGSÁG VAN,</t>
  </si>
  <si>
    <t>Egy oldalas</t>
  </si>
  <si>
    <t>Kétoldalas</t>
  </si>
  <si>
    <t>Lengyel</t>
  </si>
  <si>
    <t>T-8 FAMINTÁS</t>
  </si>
  <si>
    <t>BEVILÁGÍTÓ:</t>
  </si>
  <si>
    <t>2 m - 18.000 Ft + ÁFA</t>
  </si>
  <si>
    <t>3 m - 26.000 Ft + ÁFA</t>
  </si>
  <si>
    <t>2915 Ft + ÁFA</t>
  </si>
  <si>
    <t>2 m - 15.230 Ft + ÁFA</t>
  </si>
  <si>
    <t>3 m - 22.845 Ft + ÁFA</t>
  </si>
  <si>
    <t>2 m - 14.430 Ft + ÁFA</t>
  </si>
  <si>
    <t>3 m - 21.643 Ft + ÁFA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</si>
</sst>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General\ &quot;Ft + ÁFA&quot;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1E1E1E"/>
      <name val="Segoe U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1"/>
      <color theme="1" tint="0.34998626667073579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6"/>
      </patternFill>
    </fill>
    <fill>
      <patternFill patternType="solid">
        <fgColor theme="8" tint="0.59999389629810485"/>
        <bgColor theme="6" tint="0.59999389629810485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3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5" fontId="0" fillId="2" borderId="0" xfId="0" applyNumberFormat="1" applyFill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165" fontId="0" fillId="2" borderId="7" xfId="0" applyNumberForma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65" fontId="0" fillId="3" borderId="0" xfId="0" applyNumberFormat="1" applyFill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165" fontId="1" fillId="8" borderId="0" xfId="0" applyNumberFormat="1" applyFont="1" applyFill="1" applyAlignment="1">
      <alignment horizontal="center" vertical="center" wrapText="1"/>
    </xf>
    <xf numFmtId="165" fontId="0" fillId="8" borderId="0" xfId="0" applyNumberForma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left" vertical="center"/>
    </xf>
    <xf numFmtId="165" fontId="0" fillId="8" borderId="7" xfId="0" applyNumberFormat="1" applyFill="1" applyBorder="1" applyAlignment="1">
      <alignment horizontal="center" vertical="center" wrapText="1"/>
    </xf>
    <xf numFmtId="0" fontId="0" fillId="8" borderId="0" xfId="0" applyFill="1"/>
    <xf numFmtId="0" fontId="4" fillId="9" borderId="5" xfId="0" applyFont="1" applyFill="1" applyBorder="1"/>
    <xf numFmtId="0" fontId="1" fillId="10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165" fontId="0" fillId="8" borderId="4" xfId="0" applyNumberForma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165" fontId="0" fillId="8" borderId="8" xfId="0" applyNumberForma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165" fontId="0" fillId="8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0" fillId="10" borderId="6" xfId="0" applyNumberFormat="1" applyFill="1" applyBorder="1" applyAlignment="1">
      <alignment horizontal="center" vertical="center" wrapText="1"/>
    </xf>
    <xf numFmtId="165" fontId="0" fillId="10" borderId="2" xfId="0" applyNumberFormat="1" applyFill="1" applyBorder="1" applyAlignment="1">
      <alignment horizontal="center" vertical="center" wrapText="1"/>
    </xf>
    <xf numFmtId="165" fontId="0" fillId="10" borderId="9" xfId="0" applyNumberFormat="1" applyFill="1" applyBorder="1" applyAlignment="1">
      <alignment horizontal="center" vertical="center" wrapText="1"/>
    </xf>
    <xf numFmtId="165" fontId="0" fillId="10" borderId="10" xfId="0" applyNumberForma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á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numFmt numFmtId="165" formatCode="General\ &quot;Ft + ÁFA&quot;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numFmt numFmtId="165" formatCode="General\ &quot;Ft + ÁFA&quot;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E880A-AB1C-4AC7-83F5-F0A25359FEF6}" name="Táblázat13" displayName="Táblázat13" ref="A1:H29" headerRowCount="0" headerRowDxfId="32" dataDxfId="31">
  <tableColumns count="8">
    <tableColumn id="1" xr3:uid="{13528F70-A009-4D7A-B353-BF32DDE7CCA6}" name="Oszlop1" totalsRowLabel="Összeg" dataDxfId="30" totalsRowDxfId="29"/>
    <tableColumn id="2" xr3:uid="{467840B4-28AF-47F9-9F6E-8228A221DCBA}" name="Oszlop2" dataDxfId="28" totalsRowDxfId="27"/>
    <tableColumn id="7" xr3:uid="{B895AF3A-8DDF-460B-B5B6-E084C1814717}" name="Oszlop7" dataDxfId="26" totalsRowDxfId="25"/>
    <tableColumn id="3" xr3:uid="{89703B1A-2E7A-4DDA-AAE2-6557550D8AB3}" name="Oszlop3" dataDxfId="24" totalsRowDxfId="23">
      <calculatedColumnFormula>MROUND(Táblázat13[[#This Row],[Oszlop7]]*1.05,5)</calculatedColumnFormula>
    </tableColumn>
    <tableColumn id="4" xr3:uid="{0263BFB5-E23E-4101-B30F-160E2223E3DE}" name="Oszlop4" dataDxfId="22" totalsRowDxfId="21"/>
    <tableColumn id="5" xr3:uid="{29DDB0A1-FC0D-40D4-BD0A-DBD317450A5E}" name="Oszlop6" dataDxfId="20" totalsRowDxfId="19">
      <calculatedColumnFormula>MROUND(Táblázat13[[#This Row],[Oszlop4]]*1.05,5)</calculatedColumnFormula>
    </tableColumn>
    <tableColumn id="8" xr3:uid="{CB2E9B3D-BE23-45C5-AEB0-1B24ED562CA6}" name="Oszlop5" headerRowDxfId="18" dataDxfId="17" totalsRowDxfId="16"/>
    <tableColumn id="10" xr3:uid="{2F106C89-173F-4981-BAC5-E8A162B776AE}" name="Oszlop8" headerRowDxfId="15" dataDxfId="14" totalsRowDxfId="13"/>
  </tableColumns>
  <tableStyleInfo name="TableStyleMedium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4C526-659B-411D-8F6B-4555F4E3F831}" name="Táblázat1" displayName="Táblázat1" ref="A1:E29" headerRowCount="0" headerRowDxfId="12" dataDxfId="11">
  <tableColumns count="5">
    <tableColumn id="1" xr3:uid="{84FFCB1E-4B97-47E9-9909-938359F457D3}" name="Oszlop1" totalsRowLabel="Összeg" dataDxfId="10" totalsRowDxfId="9"/>
    <tableColumn id="2" xr3:uid="{E97A43FA-89E2-4CCF-80DA-51DE1B5DFBE1}" name="Oszlop2" dataDxfId="8" totalsRowDxfId="7"/>
    <tableColumn id="7" xr3:uid="{1CA3B1BA-0909-4BBD-B6DB-758EBBA81969}" name="Oszlop7" dataDxfId="6" totalsRowDxfId="5"/>
    <tableColumn id="4" xr3:uid="{5CB48201-CE8B-4228-B08C-1D0A3CFCE162}" name="Oszlop4" dataDxfId="4" totalsRowDxfId="3"/>
    <tableColumn id="8" xr3:uid="{5CA32199-5D27-485E-AA66-0B9B3502E979}" name="Oszlop5" headerRowDxfId="2" dataDxfId="1" totalsRowDxfId="0"/>
  </tableColumns>
  <tableStyleInfo name="TableStyleMedium11" showFirstColumn="1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F300-EBCC-4028-AD1A-5C5A170443B0}">
  <dimension ref="A1:M29"/>
  <sheetViews>
    <sheetView tabSelected="1" view="pageLayout" zoomScaleNormal="100" workbookViewId="0">
      <selection activeCell="F26" sqref="F26"/>
    </sheetView>
  </sheetViews>
  <sheetFormatPr defaultColWidth="9.140625" defaultRowHeight="15" x14ac:dyDescent="0.25"/>
  <cols>
    <col min="1" max="1" width="15.5703125" customWidth="1"/>
    <col min="2" max="2" width="9.42578125" customWidth="1"/>
    <col min="3" max="3" width="15.28515625" hidden="1" customWidth="1"/>
    <col min="4" max="4" width="15.140625" customWidth="1"/>
    <col min="5" max="5" width="18.28515625" hidden="1" customWidth="1"/>
    <col min="6" max="6" width="18.28515625" customWidth="1"/>
    <col min="7" max="7" width="24.42578125" hidden="1" customWidth="1"/>
    <col min="8" max="8" width="24.42578125" customWidth="1"/>
    <col min="9" max="9" width="4.7109375" customWidth="1"/>
    <col min="10" max="10" width="13.85546875" customWidth="1"/>
    <col min="11" max="11" width="8.42578125" bestFit="1" customWidth="1"/>
    <col min="12" max="12" width="15.5703125" bestFit="1" customWidth="1"/>
    <col min="13" max="13" width="15.28515625" customWidth="1"/>
  </cols>
  <sheetData>
    <row r="1" spans="1:13" ht="15.75" x14ac:dyDescent="0.25">
      <c r="C1" s="42" t="s">
        <v>30</v>
      </c>
      <c r="D1" s="42" t="s">
        <v>30</v>
      </c>
      <c r="E1" s="42" t="s">
        <v>14</v>
      </c>
      <c r="F1" s="42" t="s">
        <v>14</v>
      </c>
      <c r="G1" s="43" t="s">
        <v>29</v>
      </c>
      <c r="H1" s="43" t="s">
        <v>29</v>
      </c>
    </row>
    <row r="2" spans="1:13" ht="21.75" customHeight="1" x14ac:dyDescent="0.25"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J2" s="8"/>
    </row>
    <row r="3" spans="1:13" ht="15.75" x14ac:dyDescent="0.25">
      <c r="A3" s="15" t="s">
        <v>0</v>
      </c>
      <c r="B3" s="16" t="s">
        <v>12</v>
      </c>
      <c r="C3" s="17">
        <v>2985</v>
      </c>
      <c r="D3" s="17">
        <f>MROUND(Táblázat13[[#This Row],[Oszlop7]]*1.05,5)</f>
        <v>3135</v>
      </c>
      <c r="E3" s="17">
        <v>2870</v>
      </c>
      <c r="F3" s="17">
        <f>MROUND(Táblázat13[[#This Row],[Oszlop4]]*1.05,5)</f>
        <v>3015</v>
      </c>
      <c r="G3" s="17">
        <v>3120</v>
      </c>
      <c r="H3" s="17">
        <f>MROUND(Táblázat13[[#This Row],[Oszlop5]]*1.05,5)</f>
        <v>3275</v>
      </c>
      <c r="J3" s="9"/>
      <c r="K3" s="10"/>
      <c r="L3" s="11" t="s">
        <v>47</v>
      </c>
      <c r="M3" s="11" t="s">
        <v>48</v>
      </c>
    </row>
    <row r="4" spans="1:13" ht="17.25" customHeight="1" thickBot="1" x14ac:dyDescent="0.3">
      <c r="A4" s="37" t="s">
        <v>33</v>
      </c>
      <c r="B4" s="18" t="s">
        <v>13</v>
      </c>
      <c r="C4" s="19">
        <v>3130</v>
      </c>
      <c r="D4" s="19">
        <f>MROUND(Táblázat13[[#This Row],[Oszlop7]]*1.05,5)</f>
        <v>3285</v>
      </c>
      <c r="E4" s="19">
        <v>3000</v>
      </c>
      <c r="F4" s="19">
        <f>MROUND(Táblázat13[[#This Row],[Oszlop4]]*1.05,5)</f>
        <v>3150</v>
      </c>
      <c r="G4" s="19">
        <v>3270</v>
      </c>
      <c r="H4" s="19">
        <f>MROUND(Táblázat13[[#This Row],[Oszlop5]]*1.05,5)</f>
        <v>3435</v>
      </c>
      <c r="J4" s="12" t="s">
        <v>49</v>
      </c>
      <c r="K4" s="13"/>
      <c r="L4" s="14" t="s">
        <v>11</v>
      </c>
      <c r="M4" s="14" t="s">
        <v>11</v>
      </c>
    </row>
    <row r="5" spans="1:13" ht="15.75" x14ac:dyDescent="0.25">
      <c r="A5" s="15" t="s">
        <v>1</v>
      </c>
      <c r="B5" s="16" t="s">
        <v>12</v>
      </c>
      <c r="C5" s="17">
        <v>3060</v>
      </c>
      <c r="D5" s="17">
        <f>MROUND(Táblázat13[[#This Row],[Oszlop7]]*1.05,5)</f>
        <v>3215</v>
      </c>
      <c r="E5" s="17">
        <v>2930</v>
      </c>
      <c r="F5" s="17">
        <f>MROUND(Táblázat13[[#This Row],[Oszlop4]]*1.05,5)</f>
        <v>3075</v>
      </c>
      <c r="G5" s="17">
        <v>3185</v>
      </c>
      <c r="H5" s="17">
        <f>MROUND(Táblázat13[[#This Row],[Oszlop5]]*1.05,5)</f>
        <v>3345</v>
      </c>
      <c r="J5" s="33" t="s">
        <v>50</v>
      </c>
      <c r="K5" s="34" t="s">
        <v>12</v>
      </c>
      <c r="L5" s="52">
        <v>3890</v>
      </c>
      <c r="M5" s="54">
        <v>4250</v>
      </c>
    </row>
    <row r="6" spans="1:13" ht="15.75" thickBot="1" x14ac:dyDescent="0.3">
      <c r="A6" s="37" t="s">
        <v>34</v>
      </c>
      <c r="B6" s="18" t="s">
        <v>13</v>
      </c>
      <c r="C6" s="19">
        <v>3120</v>
      </c>
      <c r="D6" s="19">
        <f>MROUND(Táblázat13[[#This Row],[Oszlop7]]*1.05,5)</f>
        <v>3275</v>
      </c>
      <c r="E6" s="19">
        <v>3070</v>
      </c>
      <c r="F6" s="19">
        <f>MROUND(Táblázat13[[#This Row],[Oszlop4]]*1.05,5)</f>
        <v>3225</v>
      </c>
      <c r="G6" s="19">
        <v>3335</v>
      </c>
      <c r="H6" s="19">
        <f>MROUND(Táblázat13[[#This Row],[Oszlop5]]*1.05,5)</f>
        <v>3500</v>
      </c>
      <c r="J6" s="40" t="s">
        <v>41</v>
      </c>
      <c r="K6" s="35"/>
      <c r="L6" s="53"/>
      <c r="M6" s="55"/>
    </row>
    <row r="7" spans="1:13" ht="18.75" customHeight="1" x14ac:dyDescent="0.25">
      <c r="A7" s="15" t="s">
        <v>2</v>
      </c>
      <c r="B7" s="16" t="s">
        <v>12</v>
      </c>
      <c r="C7" s="17">
        <v>3200</v>
      </c>
      <c r="D7" s="17">
        <f>MROUND(Táblázat13[[#This Row],[Oszlop7]]*1.05,5)</f>
        <v>3360</v>
      </c>
      <c r="E7" s="17">
        <v>3060</v>
      </c>
      <c r="F7" s="17">
        <f>MROUND(Táblázat13[[#This Row],[Oszlop4]]*1.05,5)</f>
        <v>3215</v>
      </c>
      <c r="G7" s="17">
        <v>3325</v>
      </c>
      <c r="H7" s="17">
        <f>MROUND(Táblázat13[[#This Row],[Oszlop5]]*1.05,5)</f>
        <v>3490</v>
      </c>
    </row>
    <row r="8" spans="1:13" ht="15.75" thickBot="1" x14ac:dyDescent="0.3">
      <c r="A8" s="37" t="s">
        <v>35</v>
      </c>
      <c r="B8" s="18" t="s">
        <v>32</v>
      </c>
      <c r="C8" s="19">
        <v>3335</v>
      </c>
      <c r="D8" s="19">
        <f>MROUND(Táblázat13[[#This Row],[Oszlop7]]*1.05,5)</f>
        <v>3500</v>
      </c>
      <c r="E8" s="19">
        <v>3210</v>
      </c>
      <c r="F8" s="19">
        <f>MROUND(Táblázat13[[#This Row],[Oszlop4]]*1.05,5)</f>
        <v>3370</v>
      </c>
      <c r="G8" s="19">
        <v>3450</v>
      </c>
      <c r="H8" s="19">
        <f>MROUND(Táblázat13[[#This Row],[Oszlop5]]*1.05,5)</f>
        <v>3625</v>
      </c>
    </row>
    <row r="9" spans="1:13" ht="15.75" x14ac:dyDescent="0.25">
      <c r="A9" s="15" t="s">
        <v>3</v>
      </c>
      <c r="B9" s="16" t="s">
        <v>12</v>
      </c>
      <c r="C9" s="17">
        <v>3000</v>
      </c>
      <c r="D9" s="17">
        <f>MROUND(Táblázat13[[#This Row],[Oszlop7]]*1.05,5)</f>
        <v>3150</v>
      </c>
      <c r="E9" s="17">
        <v>2890</v>
      </c>
      <c r="F9" s="17">
        <f>MROUND(Táblázat13[[#This Row],[Oszlop4]]*1.05,5)</f>
        <v>3035</v>
      </c>
      <c r="G9" s="17">
        <v>3140</v>
      </c>
      <c r="H9" s="17">
        <f>MROUND(Táblázat13[[#This Row],[Oszlop5]]*1.05,5)</f>
        <v>3295</v>
      </c>
    </row>
    <row r="10" spans="1:13" ht="15.75" thickBot="1" x14ac:dyDescent="0.3">
      <c r="A10" s="37" t="s">
        <v>36</v>
      </c>
      <c r="B10" s="18" t="s">
        <v>32</v>
      </c>
      <c r="C10" s="19">
        <v>3155</v>
      </c>
      <c r="D10" s="19">
        <f>MROUND(Táblázat13[[#This Row],[Oszlop7]]*1.05,5)</f>
        <v>3315</v>
      </c>
      <c r="E10" s="19">
        <v>3035</v>
      </c>
      <c r="F10" s="19">
        <f>MROUND(Táblázat13[[#This Row],[Oszlop4]]*1.05,5)</f>
        <v>3185</v>
      </c>
      <c r="G10" s="19">
        <v>3300</v>
      </c>
      <c r="H10" s="19">
        <f>MROUND(Táblázat13[[#This Row],[Oszlop5]]*1.05,5)</f>
        <v>3465</v>
      </c>
      <c r="L10" s="2"/>
    </row>
    <row r="11" spans="1:13" ht="15.75" x14ac:dyDescent="0.25">
      <c r="A11" s="15" t="s">
        <v>4</v>
      </c>
      <c r="B11" s="16" t="s">
        <v>12</v>
      </c>
      <c r="C11" s="17">
        <v>3095</v>
      </c>
      <c r="D11" s="17">
        <f>MROUND(Táblázat13[[#This Row],[Oszlop7]]*1.05,5)</f>
        <v>3250</v>
      </c>
      <c r="E11" s="17">
        <v>2970</v>
      </c>
      <c r="F11" s="17">
        <f>MROUND(Táblázat13[[#This Row],[Oszlop4]]*1.05,5)</f>
        <v>3120</v>
      </c>
      <c r="G11" s="17">
        <v>3230</v>
      </c>
      <c r="H11" s="17">
        <f>MROUND(Táblázat13[[#This Row],[Oszlop5]]*1.05,5)</f>
        <v>3390</v>
      </c>
      <c r="L11" s="2"/>
    </row>
    <row r="12" spans="1:13" ht="15.75" thickBot="1" x14ac:dyDescent="0.3">
      <c r="A12" s="37" t="s">
        <v>37</v>
      </c>
      <c r="B12" s="18" t="s">
        <v>32</v>
      </c>
      <c r="C12" s="19">
        <v>3240</v>
      </c>
      <c r="D12" s="19">
        <f>MROUND(Táblázat13[[#This Row],[Oszlop7]]*1.05,5)</f>
        <v>3400</v>
      </c>
      <c r="E12" s="19">
        <v>3110</v>
      </c>
      <c r="F12" s="19">
        <f>MROUND(Táblázat13[[#This Row],[Oszlop4]]*1.05,5)</f>
        <v>3265</v>
      </c>
      <c r="G12" s="19">
        <v>3380</v>
      </c>
      <c r="H12" s="19">
        <f>MROUND(Táblázat13[[#This Row],[Oszlop5]]*1.05,5)</f>
        <v>3550</v>
      </c>
    </row>
    <row r="13" spans="1:13" ht="15.75" x14ac:dyDescent="0.25">
      <c r="A13" s="20" t="s">
        <v>5</v>
      </c>
      <c r="B13" s="21" t="s">
        <v>12</v>
      </c>
      <c r="C13" s="49" t="s">
        <v>27</v>
      </c>
      <c r="D13" s="49" t="s">
        <v>27</v>
      </c>
      <c r="E13" s="49" t="s">
        <v>27</v>
      </c>
      <c r="F13" s="49" t="s">
        <v>27</v>
      </c>
      <c r="G13" s="22" t="s">
        <v>27</v>
      </c>
      <c r="H13" s="22" t="s">
        <v>27</v>
      </c>
      <c r="J13" s="50" t="s">
        <v>51</v>
      </c>
      <c r="K13" s="51" t="s">
        <v>22</v>
      </c>
      <c r="L13" t="s">
        <v>55</v>
      </c>
    </row>
    <row r="14" spans="1:13" ht="15.75" thickBot="1" x14ac:dyDescent="0.3">
      <c r="A14" s="38" t="s">
        <v>38</v>
      </c>
      <c r="B14" s="23" t="s">
        <v>32</v>
      </c>
      <c r="C14" s="24">
        <v>3305</v>
      </c>
      <c r="D14" s="24">
        <f>MROUND(Táblázat13[[#This Row],[Oszlop7]]*1.05,5)</f>
        <v>3470</v>
      </c>
      <c r="E14" s="24">
        <v>3190</v>
      </c>
      <c r="F14" s="24">
        <f>MROUND(Táblázat13[[#This Row],[Oszlop4]]*1.05,5)</f>
        <v>3350</v>
      </c>
      <c r="G14" s="24">
        <v>3465</v>
      </c>
      <c r="H14" s="24">
        <f>MROUND(Táblázat13[[#This Row],[Oszlop5]]*1.05,5)</f>
        <v>3640</v>
      </c>
      <c r="L14" t="s">
        <v>56</v>
      </c>
    </row>
    <row r="15" spans="1:13" ht="15.75" x14ac:dyDescent="0.25">
      <c r="A15" s="20" t="s">
        <v>39</v>
      </c>
      <c r="B15" s="21" t="s">
        <v>12</v>
      </c>
      <c r="C15" s="49" t="s">
        <v>27</v>
      </c>
      <c r="D15" s="49" t="s">
        <v>27</v>
      </c>
      <c r="E15" s="49" t="s">
        <v>27</v>
      </c>
      <c r="F15" s="49" t="s">
        <v>27</v>
      </c>
      <c r="G15" s="22" t="s">
        <v>27</v>
      </c>
      <c r="H15" s="22" t="s">
        <v>27</v>
      </c>
    </row>
    <row r="16" spans="1:13" ht="15.75" thickBot="1" x14ac:dyDescent="0.3">
      <c r="A16" s="38" t="s">
        <v>40</v>
      </c>
      <c r="B16" s="23" t="s">
        <v>32</v>
      </c>
      <c r="C16" s="24">
        <v>4160</v>
      </c>
      <c r="D16" s="24">
        <f>MROUND(Táblázat13[[#This Row],[Oszlop7]]*1.05,5)</f>
        <v>4370</v>
      </c>
      <c r="E16" s="24">
        <v>3960</v>
      </c>
      <c r="F16" s="24">
        <f>MROUND(Táblázat13[[#This Row],[Oszlop4]]*1.05,5)</f>
        <v>4160</v>
      </c>
      <c r="G16" s="24">
        <v>4305</v>
      </c>
      <c r="H16" s="24">
        <f>MROUND(Táblázat13[[#This Row],[Oszlop5]]*1.05,5)</f>
        <v>4520</v>
      </c>
      <c r="K16" s="51" t="s">
        <v>23</v>
      </c>
      <c r="L16" t="s">
        <v>57</v>
      </c>
    </row>
    <row r="17" spans="1:12" ht="15.75" x14ac:dyDescent="0.25">
      <c r="A17" s="25" t="s">
        <v>6</v>
      </c>
      <c r="B17" s="26" t="s">
        <v>31</v>
      </c>
      <c r="C17" s="27" t="s">
        <v>27</v>
      </c>
      <c r="D17" s="27" t="s">
        <v>27</v>
      </c>
      <c r="E17" s="28">
        <v>2550</v>
      </c>
      <c r="F17" s="28">
        <f>MROUND(Táblázat13[[#This Row],[Oszlop4]]*1.05,5)</f>
        <v>2680</v>
      </c>
      <c r="G17" s="28" t="s">
        <v>27</v>
      </c>
      <c r="H17" s="28" t="s">
        <v>27</v>
      </c>
      <c r="L17" t="s">
        <v>58</v>
      </c>
    </row>
    <row r="18" spans="1:12" x14ac:dyDescent="0.25">
      <c r="A18" s="39" t="s">
        <v>41</v>
      </c>
      <c r="B18" s="26" t="s">
        <v>12</v>
      </c>
      <c r="C18" s="28">
        <v>2845</v>
      </c>
      <c r="D18" s="28">
        <f>MROUND(Táblázat13[[#This Row],[Oszlop7]]*1.05,5)</f>
        <v>2985</v>
      </c>
      <c r="E18" s="28">
        <v>2735</v>
      </c>
      <c r="F18" s="28">
        <f>MROUND(Táblázat13[[#This Row],[Oszlop4]]*1.05,5)</f>
        <v>2870</v>
      </c>
      <c r="G18" s="28">
        <v>2970</v>
      </c>
      <c r="H18" s="28">
        <f>MROUND(Táblázat13[[#This Row],[Oszlop5]]*1.05,5)</f>
        <v>3120</v>
      </c>
    </row>
    <row r="19" spans="1:12" ht="15.75" thickBot="1" x14ac:dyDescent="0.3">
      <c r="A19" s="29"/>
      <c r="B19" s="30" t="s">
        <v>32</v>
      </c>
      <c r="C19" s="31">
        <v>2970</v>
      </c>
      <c r="D19" s="31">
        <f>MROUND(Táblázat13[[#This Row],[Oszlop7]]*1.05,5)</f>
        <v>3120</v>
      </c>
      <c r="E19" s="31">
        <v>2870</v>
      </c>
      <c r="F19" s="31">
        <f>MROUND(Táblázat13[[#This Row],[Oszlop4]]*1.05,5)</f>
        <v>3015</v>
      </c>
      <c r="G19" s="31">
        <v>3120</v>
      </c>
      <c r="H19" s="31">
        <f>MROUND(Táblázat13[[#This Row],[Oszlop5]]*1.05,5)</f>
        <v>3275</v>
      </c>
    </row>
    <row r="20" spans="1:12" ht="15.75" x14ac:dyDescent="0.25">
      <c r="A20" s="25" t="s">
        <v>7</v>
      </c>
      <c r="B20" s="26" t="s">
        <v>31</v>
      </c>
      <c r="C20" s="27" t="s">
        <v>27</v>
      </c>
      <c r="D20" s="27" t="s">
        <v>27</v>
      </c>
      <c r="E20" s="28">
        <v>2550</v>
      </c>
      <c r="F20" s="28">
        <f>MROUND(Táblázat13[[#This Row],[Oszlop4]]*1.05,5)</f>
        <v>2680</v>
      </c>
      <c r="G20" s="28" t="s">
        <v>27</v>
      </c>
      <c r="H20" s="28" t="s">
        <v>27</v>
      </c>
    </row>
    <row r="21" spans="1:12" x14ac:dyDescent="0.25">
      <c r="A21" s="39" t="s">
        <v>42</v>
      </c>
      <c r="B21" s="26" t="s">
        <v>12</v>
      </c>
      <c r="C21" s="28">
        <v>2875</v>
      </c>
      <c r="D21" s="28">
        <f>MROUND(Táblázat13[[#This Row],[Oszlop7]]*1.05,5)</f>
        <v>3020</v>
      </c>
      <c r="E21" s="28">
        <v>2780</v>
      </c>
      <c r="F21" s="28">
        <f>MROUND(Táblázat13[[#This Row],[Oszlop4]]*1.05,5)</f>
        <v>2920</v>
      </c>
      <c r="G21" s="28">
        <v>3020</v>
      </c>
      <c r="H21" s="28">
        <f>MROUND(Táblázat13[[#This Row],[Oszlop5]]*1.05,5)</f>
        <v>3170</v>
      </c>
    </row>
    <row r="22" spans="1:12" ht="15.75" thickBot="1" x14ac:dyDescent="0.3">
      <c r="A22" s="29"/>
      <c r="B22" s="30" t="s">
        <v>32</v>
      </c>
      <c r="C22" s="31">
        <v>3025</v>
      </c>
      <c r="D22" s="31">
        <f>MROUND(Táblázat13[[#This Row],[Oszlop7]]*1.05,5)</f>
        <v>3175</v>
      </c>
      <c r="E22" s="31">
        <v>2915</v>
      </c>
      <c r="F22" s="31">
        <f>MROUND(Táblázat13[[#This Row],[Oszlop4]]*1.05,5)</f>
        <v>3060</v>
      </c>
      <c r="G22" s="31">
        <v>3170</v>
      </c>
      <c r="H22" s="31">
        <f>MROUND(Táblázat13[[#This Row],[Oszlop5]]*1.05,5)</f>
        <v>3330</v>
      </c>
    </row>
    <row r="23" spans="1:12" ht="15.75" x14ac:dyDescent="0.25">
      <c r="A23" s="25" t="s">
        <v>8</v>
      </c>
      <c r="B23" s="26" t="s">
        <v>31</v>
      </c>
      <c r="C23" s="27" t="s">
        <v>27</v>
      </c>
      <c r="D23" s="27" t="s">
        <v>27</v>
      </c>
      <c r="E23" s="28">
        <v>2550</v>
      </c>
      <c r="F23" s="28">
        <f>MROUND(Táblázat13[[#This Row],[Oszlop4]]*1.05,5)</f>
        <v>2680</v>
      </c>
      <c r="G23" s="28" t="s">
        <v>27</v>
      </c>
      <c r="H23" s="28" t="s">
        <v>27</v>
      </c>
    </row>
    <row r="24" spans="1:12" x14ac:dyDescent="0.25">
      <c r="A24" s="39" t="s">
        <v>43</v>
      </c>
      <c r="B24" s="26" t="s">
        <v>12</v>
      </c>
      <c r="C24" s="28">
        <v>2875</v>
      </c>
      <c r="D24" s="28">
        <f>MROUND(Táblázat13[[#This Row],[Oszlop7]]*1.05,5)</f>
        <v>3020</v>
      </c>
      <c r="E24" s="28">
        <v>2780</v>
      </c>
      <c r="F24" s="28">
        <f>MROUND(Táblázat13[[#This Row],[Oszlop4]]*1.05,5)</f>
        <v>2920</v>
      </c>
      <c r="G24" s="28">
        <v>3045</v>
      </c>
      <c r="H24" s="28">
        <f>MROUND(Táblázat13[[#This Row],[Oszlop5]]*1.05,5)</f>
        <v>3195</v>
      </c>
    </row>
    <row r="25" spans="1:12" ht="15.75" thickBot="1" x14ac:dyDescent="0.3">
      <c r="A25" s="29"/>
      <c r="B25" s="30" t="s">
        <v>32</v>
      </c>
      <c r="C25" s="31">
        <v>3025</v>
      </c>
      <c r="D25" s="31">
        <f>MROUND(Táblázat13[[#This Row],[Oszlop7]]*1.05,5)</f>
        <v>3175</v>
      </c>
      <c r="E25" s="31" t="s">
        <v>54</v>
      </c>
      <c r="F25" s="31">
        <v>3060</v>
      </c>
      <c r="G25" s="31">
        <v>3210</v>
      </c>
      <c r="H25" s="31">
        <f>MROUND(Táblázat13[[#This Row],[Oszlop5]]*1.05,5)</f>
        <v>3370</v>
      </c>
    </row>
    <row r="26" spans="1:12" ht="15.75" x14ac:dyDescent="0.25">
      <c r="A26" s="44" t="s">
        <v>9</v>
      </c>
      <c r="B26" s="45" t="s">
        <v>12</v>
      </c>
      <c r="C26" s="46">
        <v>3150</v>
      </c>
      <c r="D26" s="46">
        <f>MROUND(Táblázat13[[#This Row],[Oszlop7]]*1.05,5)</f>
        <v>3310</v>
      </c>
      <c r="E26" s="46">
        <v>3025</v>
      </c>
      <c r="F26" s="46">
        <f>MROUND(Táblázat13[[#This Row],[Oszlop4]]*1.05,5)</f>
        <v>3175</v>
      </c>
      <c r="G26" s="46">
        <v>3290</v>
      </c>
      <c r="H26" s="28">
        <f>MROUND(Táblázat13[[#This Row],[Oszlop5]]*1.05,5)</f>
        <v>3455</v>
      </c>
    </row>
    <row r="27" spans="1:12" ht="15.75" thickBot="1" x14ac:dyDescent="0.3">
      <c r="A27" s="47" t="s">
        <v>44</v>
      </c>
      <c r="B27" s="30" t="s">
        <v>32</v>
      </c>
      <c r="C27" s="31">
        <v>3300</v>
      </c>
      <c r="D27" s="31">
        <f>MROUND(Táblázat13[[#This Row],[Oszlop7]]*1.05,5)</f>
        <v>3465</v>
      </c>
      <c r="E27" s="31">
        <v>3190</v>
      </c>
      <c r="F27" s="31">
        <f>MROUND(Táblázat13[[#This Row],[Oszlop4]]*1.05,5)</f>
        <v>3350</v>
      </c>
      <c r="G27" s="31">
        <v>3465</v>
      </c>
      <c r="H27" s="31">
        <f>MROUND(Táblázat13[[#This Row],[Oszlop5]]*1.05,5)</f>
        <v>3640</v>
      </c>
    </row>
    <row r="28" spans="1:12" ht="15.75" x14ac:dyDescent="0.25">
      <c r="A28" s="25" t="s">
        <v>10</v>
      </c>
      <c r="B28" s="26" t="s">
        <v>12</v>
      </c>
      <c r="C28" s="48" t="s">
        <v>27</v>
      </c>
      <c r="D28" s="48" t="s">
        <v>27</v>
      </c>
      <c r="E28" s="48" t="s">
        <v>27</v>
      </c>
      <c r="F28" s="48" t="s">
        <v>27</v>
      </c>
      <c r="G28" s="28" t="s">
        <v>27</v>
      </c>
      <c r="H28" s="28" t="s">
        <v>27</v>
      </c>
    </row>
    <row r="29" spans="1:12" x14ac:dyDescent="0.25">
      <c r="A29" s="39" t="s">
        <v>45</v>
      </c>
      <c r="B29" s="26" t="s">
        <v>32</v>
      </c>
      <c r="C29" s="28">
        <v>3385</v>
      </c>
      <c r="D29" s="28">
        <f>MROUND(Táblázat13[[#This Row],[Oszlop7]]*1.05,5)</f>
        <v>3555</v>
      </c>
      <c r="E29" s="28">
        <v>3260</v>
      </c>
      <c r="F29" s="28">
        <f>MROUND(Táblázat13[[#This Row],[Oszlop4]]*1.05,5)</f>
        <v>3425</v>
      </c>
      <c r="G29" s="28">
        <v>3547</v>
      </c>
      <c r="H29" s="28">
        <f>MROUND(Táblázat13[[#This Row],[Oszlop5]]*1.05,5)</f>
        <v>3725</v>
      </c>
    </row>
  </sheetData>
  <mergeCells count="2">
    <mergeCell ref="L5:L6"/>
    <mergeCell ref="M5:M6"/>
  </mergeCells>
  <pageMargins left="0.25" right="0.25" top="0.75" bottom="0.75" header="0.3" footer="0.3"/>
  <pageSetup paperSize="9" orientation="landscape" r:id="rId1"/>
  <headerFooter>
    <oddHeader xml:space="preserve">&amp;L&amp;G&amp;C&amp;"-,Félkövér"&amp;20LENGYEL ÁRLISTA&amp;RÉrvényes &amp;"-,Félkövér"&amp;U2026. március 1-től&amp;"-,Normál"&amp;U visszavonásig !
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15F9-F06B-476F-BB91-E8E5DA8CDF3C}">
  <dimension ref="A1:J29"/>
  <sheetViews>
    <sheetView view="pageLayout" zoomScaleNormal="100" workbookViewId="0">
      <selection activeCell="C3" sqref="C3"/>
    </sheetView>
  </sheetViews>
  <sheetFormatPr defaultRowHeight="15" x14ac:dyDescent="0.25"/>
  <cols>
    <col min="1" max="1" width="15.5703125" customWidth="1"/>
    <col min="2" max="2" width="9.42578125" customWidth="1"/>
    <col min="3" max="3" width="15.28515625" customWidth="1"/>
    <col min="4" max="4" width="18.28515625" customWidth="1"/>
    <col min="5" max="5" width="24.42578125" customWidth="1"/>
    <col min="6" max="6" width="4.7109375" customWidth="1"/>
    <col min="7" max="7" width="13.85546875" customWidth="1"/>
    <col min="8" max="8" width="8.42578125" bestFit="1" customWidth="1"/>
    <col min="9" max="9" width="15.5703125" bestFit="1" customWidth="1"/>
    <col min="10" max="10" width="15.28515625" customWidth="1"/>
  </cols>
  <sheetData>
    <row r="1" spans="1:10" ht="15.75" x14ac:dyDescent="0.25">
      <c r="C1" s="42" t="s">
        <v>30</v>
      </c>
      <c r="D1" s="42" t="s">
        <v>14</v>
      </c>
      <c r="E1" s="43" t="s">
        <v>29</v>
      </c>
    </row>
    <row r="2" spans="1:10" ht="21.75" customHeight="1" x14ac:dyDescent="0.25">
      <c r="C2" s="1" t="s">
        <v>11</v>
      </c>
      <c r="D2" s="1" t="s">
        <v>11</v>
      </c>
      <c r="E2" s="1" t="s">
        <v>11</v>
      </c>
      <c r="G2" s="8" t="s">
        <v>46</v>
      </c>
    </row>
    <row r="3" spans="1:10" ht="15.75" x14ac:dyDescent="0.25">
      <c r="A3" s="15" t="s">
        <v>0</v>
      </c>
      <c r="B3" s="16" t="s">
        <v>12</v>
      </c>
      <c r="C3" s="17">
        <v>3050</v>
      </c>
      <c r="D3" s="17">
        <v>2950</v>
      </c>
      <c r="E3" s="17">
        <v>3195</v>
      </c>
      <c r="I3" s="2"/>
    </row>
    <row r="4" spans="1:10" ht="15.75" thickBot="1" x14ac:dyDescent="0.3">
      <c r="A4" s="37" t="s">
        <v>33</v>
      </c>
      <c r="B4" s="18" t="s">
        <v>13</v>
      </c>
      <c r="C4" s="19">
        <v>3200</v>
      </c>
      <c r="D4" s="19">
        <v>3100</v>
      </c>
      <c r="E4" s="19">
        <v>3350</v>
      </c>
      <c r="I4" s="2"/>
    </row>
    <row r="5" spans="1:10" ht="15.75" x14ac:dyDescent="0.25">
      <c r="A5" s="15" t="s">
        <v>1</v>
      </c>
      <c r="B5" s="16" t="s">
        <v>12</v>
      </c>
      <c r="C5" s="17">
        <v>3150</v>
      </c>
      <c r="D5" s="17">
        <v>3000</v>
      </c>
      <c r="E5" s="17">
        <v>3260</v>
      </c>
      <c r="I5" s="2"/>
    </row>
    <row r="6" spans="1:10" ht="15.75" thickBot="1" x14ac:dyDescent="0.3">
      <c r="A6" s="37" t="s">
        <v>34</v>
      </c>
      <c r="B6" s="18" t="s">
        <v>13</v>
      </c>
      <c r="C6" s="19">
        <v>3250</v>
      </c>
      <c r="D6" s="19">
        <v>3150</v>
      </c>
      <c r="E6" s="19">
        <v>3420</v>
      </c>
      <c r="G6" s="9"/>
      <c r="H6" s="10"/>
      <c r="I6" s="11" t="s">
        <v>47</v>
      </c>
      <c r="J6" s="11" t="s">
        <v>48</v>
      </c>
    </row>
    <row r="7" spans="1:10" ht="18.75" customHeight="1" x14ac:dyDescent="0.25">
      <c r="A7" s="15" t="s">
        <v>2</v>
      </c>
      <c r="B7" s="16" t="s">
        <v>12</v>
      </c>
      <c r="C7" s="17">
        <v>3290</v>
      </c>
      <c r="D7" s="17">
        <v>3150</v>
      </c>
      <c r="E7" s="17">
        <v>3400</v>
      </c>
      <c r="G7" s="12" t="s">
        <v>49</v>
      </c>
      <c r="H7" s="13"/>
      <c r="I7" s="14" t="s">
        <v>11</v>
      </c>
      <c r="J7" s="14" t="s">
        <v>11</v>
      </c>
    </row>
    <row r="8" spans="1:10" ht="16.5" thickBot="1" x14ac:dyDescent="0.3">
      <c r="A8" s="37" t="s">
        <v>35</v>
      </c>
      <c r="B8" s="18" t="s">
        <v>32</v>
      </c>
      <c r="C8" s="19">
        <v>3450</v>
      </c>
      <c r="D8" s="19">
        <v>3290</v>
      </c>
      <c r="E8" s="19">
        <v>3590</v>
      </c>
      <c r="G8" s="33" t="s">
        <v>50</v>
      </c>
      <c r="H8" s="34" t="s">
        <v>12</v>
      </c>
      <c r="I8" s="41">
        <v>3890</v>
      </c>
      <c r="J8" s="41">
        <v>4250</v>
      </c>
    </row>
    <row r="9" spans="1:10" ht="15.75" x14ac:dyDescent="0.25">
      <c r="A9" s="15" t="s">
        <v>3</v>
      </c>
      <c r="B9" s="16" t="s">
        <v>12</v>
      </c>
      <c r="C9" s="17">
        <v>3100</v>
      </c>
      <c r="D9" s="17">
        <v>3000</v>
      </c>
      <c r="E9" s="17">
        <v>3200</v>
      </c>
      <c r="G9" s="40" t="s">
        <v>41</v>
      </c>
      <c r="H9" s="35"/>
      <c r="I9" s="36"/>
      <c r="J9" s="32"/>
    </row>
    <row r="10" spans="1:10" ht="15.75" thickBot="1" x14ac:dyDescent="0.3">
      <c r="A10" s="37" t="s">
        <v>36</v>
      </c>
      <c r="B10" s="18" t="s">
        <v>32</v>
      </c>
      <c r="C10" s="19">
        <v>3250</v>
      </c>
      <c r="D10" s="19">
        <v>3150</v>
      </c>
      <c r="E10" s="19">
        <v>3400</v>
      </c>
      <c r="I10" s="2"/>
    </row>
    <row r="11" spans="1:10" ht="15.75" x14ac:dyDescent="0.25">
      <c r="A11" s="15" t="s">
        <v>4</v>
      </c>
      <c r="B11" s="16" t="s">
        <v>12</v>
      </c>
      <c r="C11" s="17">
        <v>3170</v>
      </c>
      <c r="D11" s="17">
        <v>3050</v>
      </c>
      <c r="E11" s="17">
        <v>3300</v>
      </c>
      <c r="I11" s="2"/>
    </row>
    <row r="12" spans="1:10" ht="15.75" thickBot="1" x14ac:dyDescent="0.3">
      <c r="A12" s="37" t="s">
        <v>37</v>
      </c>
      <c r="B12" s="18" t="s">
        <v>32</v>
      </c>
      <c r="C12" s="19">
        <v>3320</v>
      </c>
      <c r="D12" s="19">
        <v>3200</v>
      </c>
      <c r="E12" s="19">
        <v>3450</v>
      </c>
    </row>
    <row r="13" spans="1:10" ht="15.75" x14ac:dyDescent="0.25">
      <c r="A13" s="20" t="s">
        <v>5</v>
      </c>
      <c r="B13" s="21" t="s">
        <v>12</v>
      </c>
      <c r="C13" s="49" t="s">
        <v>27</v>
      </c>
      <c r="D13" s="49" t="s">
        <v>27</v>
      </c>
      <c r="E13" s="22" t="s">
        <v>27</v>
      </c>
      <c r="G13" s="50" t="s">
        <v>51</v>
      </c>
      <c r="H13" s="51" t="s">
        <v>22</v>
      </c>
      <c r="I13" t="s">
        <v>52</v>
      </c>
    </row>
    <row r="14" spans="1:10" ht="15.75" thickBot="1" x14ac:dyDescent="0.3">
      <c r="A14" s="38" t="s">
        <v>38</v>
      </c>
      <c r="B14" s="23" t="s">
        <v>32</v>
      </c>
      <c r="C14" s="24">
        <v>3400</v>
      </c>
      <c r="D14" s="24">
        <v>3300</v>
      </c>
      <c r="E14" s="24">
        <v>3550</v>
      </c>
      <c r="I14" t="s">
        <v>53</v>
      </c>
    </row>
    <row r="15" spans="1:10" ht="15.75" x14ac:dyDescent="0.25">
      <c r="A15" s="20" t="s">
        <v>39</v>
      </c>
      <c r="B15" s="21" t="s">
        <v>12</v>
      </c>
      <c r="C15" s="49" t="s">
        <v>27</v>
      </c>
      <c r="D15" s="49" t="s">
        <v>27</v>
      </c>
      <c r="E15" s="22" t="s">
        <v>27</v>
      </c>
    </row>
    <row r="16" spans="1:10" ht="15.75" thickBot="1" x14ac:dyDescent="0.3">
      <c r="A16" s="38" t="s">
        <v>40</v>
      </c>
      <c r="B16" s="23" t="s">
        <v>32</v>
      </c>
      <c r="C16" s="24">
        <v>4250</v>
      </c>
      <c r="D16" s="24">
        <v>4050</v>
      </c>
      <c r="E16" s="24">
        <v>4400</v>
      </c>
      <c r="H16" s="51" t="s">
        <v>23</v>
      </c>
      <c r="I16" t="s">
        <v>52</v>
      </c>
    </row>
    <row r="17" spans="1:9" ht="15.75" x14ac:dyDescent="0.25">
      <c r="A17" s="25" t="s">
        <v>6</v>
      </c>
      <c r="B17" s="26" t="s">
        <v>31</v>
      </c>
      <c r="C17" s="27" t="s">
        <v>27</v>
      </c>
      <c r="D17" s="28">
        <v>2550</v>
      </c>
      <c r="E17" s="28" t="s">
        <v>27</v>
      </c>
      <c r="I17" t="s">
        <v>53</v>
      </c>
    </row>
    <row r="18" spans="1:9" x14ac:dyDescent="0.25">
      <c r="A18" s="39" t="s">
        <v>41</v>
      </c>
      <c r="B18" s="26" t="s">
        <v>12</v>
      </c>
      <c r="C18" s="28">
        <v>2950</v>
      </c>
      <c r="D18" s="28">
        <v>2800</v>
      </c>
      <c r="E18" s="28">
        <v>3050</v>
      </c>
    </row>
    <row r="19" spans="1:9" ht="15.75" thickBot="1" x14ac:dyDescent="0.3">
      <c r="A19" s="29"/>
      <c r="B19" s="30" t="s">
        <v>32</v>
      </c>
      <c r="C19" s="31">
        <v>3050</v>
      </c>
      <c r="D19" s="31">
        <v>2950</v>
      </c>
      <c r="E19" s="31">
        <v>3200</v>
      </c>
    </row>
    <row r="20" spans="1:9" ht="15.75" x14ac:dyDescent="0.25">
      <c r="A20" s="25" t="s">
        <v>7</v>
      </c>
      <c r="B20" s="26" t="s">
        <v>31</v>
      </c>
      <c r="C20" s="27" t="s">
        <v>27</v>
      </c>
      <c r="D20" s="28">
        <v>2550</v>
      </c>
      <c r="E20" s="28" t="s">
        <v>27</v>
      </c>
    </row>
    <row r="21" spans="1:9" x14ac:dyDescent="0.25">
      <c r="A21" s="39" t="s">
        <v>42</v>
      </c>
      <c r="B21" s="26" t="s">
        <v>12</v>
      </c>
      <c r="C21" s="28">
        <v>2950</v>
      </c>
      <c r="D21" s="28">
        <v>2850</v>
      </c>
      <c r="E21" s="28">
        <v>3100</v>
      </c>
    </row>
    <row r="22" spans="1:9" ht="15.75" thickBot="1" x14ac:dyDescent="0.3">
      <c r="A22" s="29"/>
      <c r="B22" s="30" t="s">
        <v>32</v>
      </c>
      <c r="C22" s="31">
        <v>3100</v>
      </c>
      <c r="D22" s="31">
        <v>3000</v>
      </c>
      <c r="E22" s="31">
        <v>3250</v>
      </c>
    </row>
    <row r="23" spans="1:9" ht="15.75" x14ac:dyDescent="0.25">
      <c r="A23" s="25" t="s">
        <v>8</v>
      </c>
      <c r="B23" s="26" t="s">
        <v>31</v>
      </c>
      <c r="C23" s="27" t="s">
        <v>27</v>
      </c>
      <c r="D23" s="28">
        <v>2550</v>
      </c>
      <c r="E23" s="28" t="s">
        <v>27</v>
      </c>
    </row>
    <row r="24" spans="1:9" x14ac:dyDescent="0.25">
      <c r="A24" s="39" t="s">
        <v>43</v>
      </c>
      <c r="B24" s="26" t="s">
        <v>12</v>
      </c>
      <c r="C24" s="28">
        <v>2950</v>
      </c>
      <c r="D24" s="28">
        <v>2850</v>
      </c>
      <c r="E24" s="28">
        <v>3100</v>
      </c>
    </row>
    <row r="25" spans="1:9" ht="15.75" thickBot="1" x14ac:dyDescent="0.3">
      <c r="A25" s="29"/>
      <c r="B25" s="30" t="s">
        <v>32</v>
      </c>
      <c r="C25" s="31">
        <v>3100</v>
      </c>
      <c r="D25" s="31">
        <v>3000</v>
      </c>
      <c r="E25" s="31">
        <v>3250</v>
      </c>
    </row>
    <row r="26" spans="1:9" ht="15.75" x14ac:dyDescent="0.25">
      <c r="A26" s="44" t="s">
        <v>9</v>
      </c>
      <c r="B26" s="45" t="s">
        <v>12</v>
      </c>
      <c r="C26" s="46">
        <v>3250</v>
      </c>
      <c r="D26" s="46">
        <v>3100</v>
      </c>
      <c r="E26" s="46">
        <v>3350</v>
      </c>
    </row>
    <row r="27" spans="1:9" ht="15.75" thickBot="1" x14ac:dyDescent="0.3">
      <c r="A27" s="47" t="s">
        <v>44</v>
      </c>
      <c r="B27" s="30" t="s">
        <v>32</v>
      </c>
      <c r="C27" s="31">
        <v>3400</v>
      </c>
      <c r="D27" s="31">
        <v>3250</v>
      </c>
      <c r="E27" s="31">
        <v>3550</v>
      </c>
    </row>
    <row r="28" spans="1:9" ht="15.75" x14ac:dyDescent="0.25">
      <c r="A28" s="25" t="s">
        <v>10</v>
      </c>
      <c r="B28" s="26" t="s">
        <v>12</v>
      </c>
      <c r="C28" s="48" t="s">
        <v>27</v>
      </c>
      <c r="D28" s="48" t="s">
        <v>27</v>
      </c>
      <c r="E28" s="28" t="s">
        <v>27</v>
      </c>
    </row>
    <row r="29" spans="1:9" x14ac:dyDescent="0.25">
      <c r="A29" s="39" t="s">
        <v>45</v>
      </c>
      <c r="B29" s="26" t="s">
        <v>32</v>
      </c>
      <c r="C29" s="28">
        <v>3450</v>
      </c>
      <c r="D29" s="28">
        <v>3350</v>
      </c>
      <c r="E29" s="28">
        <v>3650</v>
      </c>
    </row>
  </sheetData>
  <pageMargins left="0.25" right="0.25" top="0.75" bottom="0.75" header="0.3" footer="0.3"/>
  <pageSetup paperSize="9" orientation="landscape" r:id="rId1"/>
  <headerFooter>
    <oddHeader xml:space="preserve">&amp;L&amp;G&amp;C&amp;"-,Félkövér"&amp;20LENGYEL ÁRLISTA&amp;RÉrvényes &amp;"-,Félkövér"&amp;U2024. november 01-től&amp;"-,Normál"&amp;U visszavonásig !
</oddHead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368D-37B2-4D0C-8CEE-981F6676D97C}">
  <dimension ref="A1:Q25"/>
  <sheetViews>
    <sheetView workbookViewId="0">
      <selection activeCell="I23" sqref="I23"/>
    </sheetView>
  </sheetViews>
  <sheetFormatPr defaultRowHeight="15" x14ac:dyDescent="0.25"/>
  <cols>
    <col min="6" max="6" width="2.85546875" customWidth="1"/>
    <col min="12" max="12" width="2.5703125" customWidth="1"/>
  </cols>
  <sheetData>
    <row r="1" spans="1:17" x14ac:dyDescent="0.25">
      <c r="A1" s="56" t="s">
        <v>14</v>
      </c>
      <c r="B1" s="56"/>
      <c r="C1" s="56"/>
      <c r="D1" s="56"/>
      <c r="E1" s="56"/>
      <c r="G1" s="57" t="s">
        <v>28</v>
      </c>
      <c r="H1" s="57"/>
      <c r="I1" s="57"/>
      <c r="J1" s="57"/>
      <c r="K1" s="57"/>
      <c r="M1" s="58" t="s">
        <v>29</v>
      </c>
      <c r="N1" s="58"/>
      <c r="O1" s="58"/>
      <c r="P1" s="58"/>
      <c r="Q1" s="58"/>
    </row>
    <row r="2" spans="1:17" ht="17.25" x14ac:dyDescent="0.3">
      <c r="A2" t="s">
        <v>15</v>
      </c>
      <c r="B2">
        <v>5.83</v>
      </c>
      <c r="C2">
        <v>410</v>
      </c>
      <c r="D2">
        <v>1.2</v>
      </c>
      <c r="E2" s="2">
        <f>B2*C2*D2</f>
        <v>2868.36</v>
      </c>
      <c r="F2" s="3"/>
      <c r="G2" t="s">
        <v>15</v>
      </c>
      <c r="H2">
        <v>6.07</v>
      </c>
      <c r="I2">
        <v>410</v>
      </c>
      <c r="J2">
        <v>1.2</v>
      </c>
      <c r="K2" s="2">
        <f>H2*I2*J2</f>
        <v>2986.44</v>
      </c>
      <c r="M2" t="s">
        <v>15</v>
      </c>
      <c r="N2">
        <v>6.34</v>
      </c>
      <c r="O2">
        <v>410</v>
      </c>
      <c r="P2">
        <v>1.2</v>
      </c>
      <c r="Q2" s="2">
        <f>N2*O2*P2</f>
        <v>3119.28</v>
      </c>
    </row>
    <row r="3" spans="1:17" x14ac:dyDescent="0.25">
      <c r="B3">
        <v>6.12</v>
      </c>
      <c r="C3">
        <v>410</v>
      </c>
      <c r="D3">
        <v>1.2</v>
      </c>
      <c r="E3" s="2">
        <f t="shared" ref="E3:E11" si="0">B3*C3*D3</f>
        <v>3011.0399999999995</v>
      </c>
      <c r="H3">
        <v>6.36</v>
      </c>
      <c r="I3">
        <v>410</v>
      </c>
      <c r="J3">
        <v>1.2</v>
      </c>
      <c r="K3" s="2">
        <f t="shared" ref="K3:K11" si="1">H3*I3*J3</f>
        <v>3129.12</v>
      </c>
      <c r="N3">
        <v>6.65</v>
      </c>
      <c r="O3">
        <v>410</v>
      </c>
      <c r="P3">
        <v>1.2</v>
      </c>
      <c r="Q3" s="2">
        <f t="shared" ref="Q3:Q11" si="2">N3*O3*P3</f>
        <v>3271.7999999999997</v>
      </c>
    </row>
    <row r="4" spans="1:17" x14ac:dyDescent="0.25">
      <c r="A4" t="s">
        <v>16</v>
      </c>
      <c r="B4">
        <v>5.95</v>
      </c>
      <c r="C4">
        <v>410</v>
      </c>
      <c r="D4">
        <v>1.2</v>
      </c>
      <c r="E4" s="2">
        <f t="shared" si="0"/>
        <v>2927.4</v>
      </c>
      <c r="G4" t="s">
        <v>16</v>
      </c>
      <c r="H4">
        <v>6.22</v>
      </c>
      <c r="I4">
        <v>410</v>
      </c>
      <c r="J4">
        <v>1.2</v>
      </c>
      <c r="K4" s="2">
        <f t="shared" si="1"/>
        <v>3060.24</v>
      </c>
      <c r="M4" t="s">
        <v>16</v>
      </c>
      <c r="N4">
        <v>6.47</v>
      </c>
      <c r="O4">
        <v>410</v>
      </c>
      <c r="P4">
        <v>1.2</v>
      </c>
      <c r="Q4" s="2">
        <f t="shared" si="2"/>
        <v>3183.24</v>
      </c>
    </row>
    <row r="5" spans="1:17" x14ac:dyDescent="0.25">
      <c r="B5">
        <v>6.24</v>
      </c>
      <c r="C5">
        <v>410</v>
      </c>
      <c r="D5">
        <v>1.2</v>
      </c>
      <c r="E5" s="2">
        <f t="shared" si="0"/>
        <v>3070.08</v>
      </c>
      <c r="H5">
        <v>6.48</v>
      </c>
      <c r="I5">
        <v>410</v>
      </c>
      <c r="J5">
        <v>1.2</v>
      </c>
      <c r="K5" s="2">
        <f t="shared" si="1"/>
        <v>3188.1600000000003</v>
      </c>
      <c r="N5">
        <v>6.78</v>
      </c>
      <c r="O5">
        <v>410</v>
      </c>
      <c r="P5">
        <v>1.2</v>
      </c>
      <c r="Q5" s="2">
        <f t="shared" si="2"/>
        <v>3335.76</v>
      </c>
    </row>
    <row r="6" spans="1:17" x14ac:dyDescent="0.25">
      <c r="A6" t="s">
        <v>17</v>
      </c>
      <c r="B6">
        <v>6.22</v>
      </c>
      <c r="C6">
        <v>410</v>
      </c>
      <c r="D6">
        <v>1.2</v>
      </c>
      <c r="E6" s="2">
        <f t="shared" si="0"/>
        <v>3060.24</v>
      </c>
      <c r="G6" t="s">
        <v>17</v>
      </c>
      <c r="H6">
        <v>6.5</v>
      </c>
      <c r="I6">
        <v>410</v>
      </c>
      <c r="J6">
        <v>1.2</v>
      </c>
      <c r="K6" s="2">
        <f t="shared" si="1"/>
        <v>3198</v>
      </c>
      <c r="M6" t="s">
        <v>17</v>
      </c>
      <c r="N6">
        <v>6.76</v>
      </c>
      <c r="O6">
        <v>410</v>
      </c>
      <c r="P6">
        <v>1.2</v>
      </c>
      <c r="Q6" s="2">
        <f t="shared" si="2"/>
        <v>3325.9199999999996</v>
      </c>
    </row>
    <row r="7" spans="1:17" x14ac:dyDescent="0.25">
      <c r="B7">
        <v>6.52</v>
      </c>
      <c r="C7">
        <v>410</v>
      </c>
      <c r="D7">
        <v>1.2</v>
      </c>
      <c r="E7" s="2">
        <f t="shared" si="0"/>
        <v>3207.8399999999997</v>
      </c>
      <c r="H7">
        <v>6.78</v>
      </c>
      <c r="I7">
        <v>410</v>
      </c>
      <c r="J7">
        <v>1.2</v>
      </c>
      <c r="K7" s="2">
        <f t="shared" si="1"/>
        <v>3335.76</v>
      </c>
      <c r="N7">
        <v>7.09</v>
      </c>
      <c r="O7">
        <v>410</v>
      </c>
      <c r="P7">
        <v>1.2</v>
      </c>
      <c r="Q7" s="2">
        <f t="shared" si="2"/>
        <v>3488.28</v>
      </c>
    </row>
    <row r="8" spans="1:17" x14ac:dyDescent="0.25">
      <c r="A8" t="s">
        <v>18</v>
      </c>
      <c r="B8">
        <v>5.87</v>
      </c>
      <c r="C8">
        <v>410</v>
      </c>
      <c r="D8">
        <v>1.2</v>
      </c>
      <c r="E8" s="2">
        <f t="shared" si="0"/>
        <v>2888.0399999999995</v>
      </c>
      <c r="G8" t="s">
        <v>18</v>
      </c>
      <c r="H8">
        <v>6.11</v>
      </c>
      <c r="I8">
        <v>410</v>
      </c>
      <c r="J8">
        <v>1.2</v>
      </c>
      <c r="K8" s="2">
        <f t="shared" si="1"/>
        <v>3006.12</v>
      </c>
      <c r="M8" t="s">
        <v>18</v>
      </c>
      <c r="N8">
        <v>6.38</v>
      </c>
      <c r="O8">
        <v>410</v>
      </c>
      <c r="P8">
        <v>1.2</v>
      </c>
      <c r="Q8" s="2">
        <f t="shared" si="2"/>
        <v>3138.96</v>
      </c>
    </row>
    <row r="9" spans="1:17" x14ac:dyDescent="0.25">
      <c r="B9">
        <v>6.17</v>
      </c>
      <c r="C9">
        <v>410</v>
      </c>
      <c r="D9">
        <v>1.2</v>
      </c>
      <c r="E9" s="2">
        <f t="shared" si="0"/>
        <v>3035.64</v>
      </c>
      <c r="H9">
        <v>6.41</v>
      </c>
      <c r="I9">
        <v>410</v>
      </c>
      <c r="J9">
        <v>1.2</v>
      </c>
      <c r="K9" s="2">
        <f t="shared" si="1"/>
        <v>3153.72</v>
      </c>
      <c r="N9">
        <v>6.71</v>
      </c>
      <c r="O9">
        <v>410</v>
      </c>
      <c r="P9">
        <v>1.2</v>
      </c>
      <c r="Q9" s="2">
        <f t="shared" si="2"/>
        <v>3301.3199999999997</v>
      </c>
    </row>
    <row r="10" spans="1:17" x14ac:dyDescent="0.25">
      <c r="A10" t="s">
        <v>19</v>
      </c>
      <c r="B10">
        <v>6.04</v>
      </c>
      <c r="C10">
        <v>410</v>
      </c>
      <c r="D10">
        <v>1.2</v>
      </c>
      <c r="E10" s="2">
        <f t="shared" si="0"/>
        <v>2971.68</v>
      </c>
      <c r="G10" t="s">
        <v>19</v>
      </c>
      <c r="H10">
        <v>6.29</v>
      </c>
      <c r="I10">
        <v>410</v>
      </c>
      <c r="J10">
        <v>1.2</v>
      </c>
      <c r="K10" s="2">
        <f t="shared" si="1"/>
        <v>3094.68</v>
      </c>
      <c r="M10" t="s">
        <v>19</v>
      </c>
      <c r="N10">
        <v>6.56</v>
      </c>
      <c r="O10">
        <v>410</v>
      </c>
      <c r="P10">
        <v>1.2</v>
      </c>
      <c r="Q10" s="2">
        <f t="shared" si="2"/>
        <v>3227.52</v>
      </c>
    </row>
    <row r="11" spans="1:17" x14ac:dyDescent="0.25">
      <c r="B11">
        <v>6.32</v>
      </c>
      <c r="C11">
        <v>410</v>
      </c>
      <c r="D11">
        <v>1.2</v>
      </c>
      <c r="E11" s="2">
        <f t="shared" si="0"/>
        <v>3109.44</v>
      </c>
      <c r="H11">
        <v>6.58</v>
      </c>
      <c r="I11">
        <v>410</v>
      </c>
      <c r="J11">
        <v>1.2</v>
      </c>
      <c r="K11" s="2">
        <f t="shared" si="1"/>
        <v>3237.36</v>
      </c>
      <c r="N11">
        <v>6.87</v>
      </c>
      <c r="O11">
        <v>410</v>
      </c>
      <c r="P11">
        <v>1.2</v>
      </c>
      <c r="Q11" s="2">
        <f t="shared" si="2"/>
        <v>3380.0399999999995</v>
      </c>
    </row>
    <row r="12" spans="1:17" x14ac:dyDescent="0.25">
      <c r="A12" s="7"/>
      <c r="B12" s="7"/>
      <c r="C12" s="7"/>
      <c r="D12" s="7"/>
      <c r="E12" s="7"/>
      <c r="G12" s="5"/>
      <c r="H12" s="5"/>
      <c r="I12" s="5"/>
      <c r="J12" s="5"/>
      <c r="K12" s="5"/>
      <c r="M12" s="6"/>
      <c r="N12" s="6"/>
      <c r="O12" s="6"/>
      <c r="P12" s="6"/>
      <c r="Q12" s="6"/>
    </row>
    <row r="13" spans="1:17" x14ac:dyDescent="0.25">
      <c r="A13" t="s">
        <v>20</v>
      </c>
      <c r="B13">
        <v>5.56</v>
      </c>
      <c r="C13">
        <v>410</v>
      </c>
      <c r="D13">
        <v>1.2</v>
      </c>
      <c r="E13" s="2">
        <f>B13*C13*D13</f>
        <v>2735.52</v>
      </c>
      <c r="G13" t="s">
        <v>20</v>
      </c>
      <c r="H13">
        <v>5.78</v>
      </c>
      <c r="I13">
        <v>410</v>
      </c>
      <c r="J13">
        <v>1.2</v>
      </c>
      <c r="K13" s="2">
        <f>H13*I13*J13</f>
        <v>2843.76</v>
      </c>
      <c r="M13" t="s">
        <v>20</v>
      </c>
      <c r="N13">
        <v>6.04</v>
      </c>
      <c r="O13">
        <v>410</v>
      </c>
      <c r="P13">
        <v>1.2</v>
      </c>
      <c r="Q13" s="2">
        <f>N13*O13*P13</f>
        <v>2971.68</v>
      </c>
    </row>
    <row r="14" spans="1:17" x14ac:dyDescent="0.25">
      <c r="B14">
        <v>5.83</v>
      </c>
      <c r="C14">
        <v>410</v>
      </c>
      <c r="D14">
        <v>1.2</v>
      </c>
      <c r="E14" s="2">
        <f t="shared" ref="E14:E22" si="3">B14*C14*D14</f>
        <v>2868.36</v>
      </c>
      <c r="H14">
        <v>6.04</v>
      </c>
      <c r="I14">
        <v>410</v>
      </c>
      <c r="J14">
        <v>1.2</v>
      </c>
      <c r="K14" s="2">
        <f t="shared" ref="K14:K20" si="4">H14*I14*J14</f>
        <v>2971.68</v>
      </c>
      <c r="N14">
        <v>6.34</v>
      </c>
      <c r="O14">
        <v>410</v>
      </c>
      <c r="P14">
        <v>1.2</v>
      </c>
      <c r="Q14" s="2">
        <f t="shared" ref="Q14:Q20" si="5">N14*O14*P14</f>
        <v>3119.28</v>
      </c>
    </row>
    <row r="15" spans="1:17" x14ac:dyDescent="0.25">
      <c r="A15" t="s">
        <v>21</v>
      </c>
      <c r="B15">
        <v>5.65</v>
      </c>
      <c r="C15">
        <v>410</v>
      </c>
      <c r="D15">
        <v>1.2</v>
      </c>
      <c r="E15" s="2">
        <f t="shared" si="3"/>
        <v>2779.7999999999997</v>
      </c>
      <c r="G15" t="s">
        <v>21</v>
      </c>
      <c r="H15">
        <v>5.84</v>
      </c>
      <c r="I15">
        <v>410</v>
      </c>
      <c r="J15">
        <v>1.2</v>
      </c>
      <c r="K15" s="2">
        <f t="shared" si="4"/>
        <v>2873.28</v>
      </c>
      <c r="M15" t="s">
        <v>21</v>
      </c>
      <c r="N15">
        <v>6.14</v>
      </c>
      <c r="O15">
        <v>410</v>
      </c>
      <c r="P15">
        <v>1.2</v>
      </c>
      <c r="Q15" s="2">
        <f t="shared" si="5"/>
        <v>3020.88</v>
      </c>
    </row>
    <row r="16" spans="1:17" x14ac:dyDescent="0.25">
      <c r="B16">
        <v>5.92</v>
      </c>
      <c r="C16">
        <v>410</v>
      </c>
      <c r="D16">
        <v>1.2</v>
      </c>
      <c r="E16" s="2">
        <f t="shared" si="3"/>
        <v>2912.64</v>
      </c>
      <c r="H16">
        <v>6.15</v>
      </c>
      <c r="I16">
        <v>410</v>
      </c>
      <c r="J16">
        <v>1.2</v>
      </c>
      <c r="K16" s="2">
        <f t="shared" si="4"/>
        <v>3025.7999999999997</v>
      </c>
      <c r="N16">
        <v>6.44</v>
      </c>
      <c r="O16">
        <v>410</v>
      </c>
      <c r="P16">
        <v>1.2</v>
      </c>
      <c r="Q16" s="2">
        <f t="shared" si="5"/>
        <v>3168.48</v>
      </c>
    </row>
    <row r="17" spans="1:17" x14ac:dyDescent="0.25">
      <c r="A17" t="s">
        <v>22</v>
      </c>
      <c r="B17">
        <v>5.69</v>
      </c>
      <c r="C17">
        <v>410</v>
      </c>
      <c r="D17">
        <v>1.2</v>
      </c>
      <c r="E17" s="2">
        <f t="shared" si="3"/>
        <v>2799.48</v>
      </c>
      <c r="G17" t="s">
        <v>22</v>
      </c>
      <c r="H17">
        <v>5.92</v>
      </c>
      <c r="I17">
        <v>410</v>
      </c>
      <c r="J17">
        <v>1.2</v>
      </c>
      <c r="K17" s="2">
        <f t="shared" si="4"/>
        <v>2912.64</v>
      </c>
      <c r="M17" t="s">
        <v>22</v>
      </c>
      <c r="N17">
        <v>6.19</v>
      </c>
      <c r="O17">
        <v>410</v>
      </c>
      <c r="P17">
        <v>1.2</v>
      </c>
      <c r="Q17" s="2">
        <f t="shared" si="5"/>
        <v>3045.48</v>
      </c>
    </row>
    <row r="18" spans="1:17" x14ac:dyDescent="0.25">
      <c r="B18">
        <v>6</v>
      </c>
      <c r="C18">
        <v>410</v>
      </c>
      <c r="D18">
        <v>1.2</v>
      </c>
      <c r="E18" s="2">
        <f t="shared" si="3"/>
        <v>2952</v>
      </c>
      <c r="H18">
        <v>6.21</v>
      </c>
      <c r="I18">
        <v>410</v>
      </c>
      <c r="J18">
        <v>1.2</v>
      </c>
      <c r="K18" s="2">
        <f t="shared" si="4"/>
        <v>3055.3199999999997</v>
      </c>
      <c r="N18">
        <v>6.52</v>
      </c>
      <c r="O18">
        <v>410</v>
      </c>
      <c r="P18">
        <v>1.2</v>
      </c>
      <c r="Q18" s="2">
        <f t="shared" si="5"/>
        <v>3207.8399999999997</v>
      </c>
    </row>
    <row r="19" spans="1:17" x14ac:dyDescent="0.25">
      <c r="A19" t="s">
        <v>23</v>
      </c>
      <c r="B19">
        <v>6.15</v>
      </c>
      <c r="C19">
        <v>410</v>
      </c>
      <c r="D19">
        <v>1.2</v>
      </c>
      <c r="E19" s="2">
        <f t="shared" si="3"/>
        <v>3025.7999999999997</v>
      </c>
      <c r="G19" t="s">
        <v>23</v>
      </c>
      <c r="H19">
        <v>6.4</v>
      </c>
      <c r="I19">
        <v>410</v>
      </c>
      <c r="J19">
        <v>1.2</v>
      </c>
      <c r="K19" s="2">
        <f t="shared" si="4"/>
        <v>3148.7999999999997</v>
      </c>
      <c r="M19" t="s">
        <v>23</v>
      </c>
      <c r="N19">
        <v>6.69</v>
      </c>
      <c r="O19">
        <v>410</v>
      </c>
      <c r="P19">
        <v>1.2</v>
      </c>
      <c r="Q19" s="2">
        <f t="shared" si="5"/>
        <v>3291.48</v>
      </c>
    </row>
    <row r="20" spans="1:17" x14ac:dyDescent="0.25">
      <c r="B20">
        <v>6.48</v>
      </c>
      <c r="C20">
        <v>410</v>
      </c>
      <c r="D20">
        <v>1.2</v>
      </c>
      <c r="E20" s="2">
        <f t="shared" si="3"/>
        <v>3188.1600000000003</v>
      </c>
      <c r="H20">
        <v>6.72</v>
      </c>
      <c r="I20">
        <v>410</v>
      </c>
      <c r="J20">
        <v>1.2</v>
      </c>
      <c r="K20" s="2">
        <f t="shared" si="4"/>
        <v>3306.24</v>
      </c>
      <c r="N20">
        <v>7.04</v>
      </c>
      <c r="O20">
        <v>410</v>
      </c>
      <c r="P20">
        <v>1.2</v>
      </c>
      <c r="Q20" s="2">
        <f t="shared" si="5"/>
        <v>3463.68</v>
      </c>
    </row>
    <row r="21" spans="1:17" x14ac:dyDescent="0.25">
      <c r="A21" t="s">
        <v>24</v>
      </c>
      <c r="B21" s="4" t="s">
        <v>27</v>
      </c>
      <c r="C21" s="4" t="s">
        <v>27</v>
      </c>
      <c r="D21" s="4" t="s">
        <v>27</v>
      </c>
      <c r="E21" s="4" t="s">
        <v>27</v>
      </c>
      <c r="G21" t="s">
        <v>24</v>
      </c>
      <c r="H21" s="4" t="s">
        <v>27</v>
      </c>
      <c r="I21" s="4" t="s">
        <v>27</v>
      </c>
      <c r="J21" s="4" t="s">
        <v>27</v>
      </c>
      <c r="K21" s="4" t="s">
        <v>27</v>
      </c>
      <c r="M21" t="s">
        <v>24</v>
      </c>
      <c r="N21" s="4"/>
      <c r="O21" s="4" t="s">
        <v>27</v>
      </c>
      <c r="P21" s="4" t="s">
        <v>27</v>
      </c>
      <c r="Q21" s="4" t="s">
        <v>27</v>
      </c>
    </row>
    <row r="22" spans="1:17" x14ac:dyDescent="0.25">
      <c r="B22">
        <v>6.63</v>
      </c>
      <c r="C22">
        <v>410</v>
      </c>
      <c r="D22">
        <v>1.2</v>
      </c>
      <c r="E22" s="2">
        <f t="shared" si="3"/>
        <v>3261.96</v>
      </c>
      <c r="H22">
        <v>6.87</v>
      </c>
      <c r="I22">
        <v>410</v>
      </c>
      <c r="J22">
        <v>1.2</v>
      </c>
      <c r="K22" s="2">
        <f t="shared" ref="K22" si="6">H22*I22*J22</f>
        <v>3380.0399999999995</v>
      </c>
      <c r="N22">
        <v>7.21</v>
      </c>
      <c r="O22">
        <v>410</v>
      </c>
      <c r="P22">
        <v>1.2</v>
      </c>
      <c r="Q22" s="2">
        <f t="shared" ref="Q22" si="7">N22*O22*P22</f>
        <v>3547.3199999999997</v>
      </c>
    </row>
    <row r="23" spans="1:17" x14ac:dyDescent="0.25">
      <c r="A23" s="7"/>
      <c r="B23" s="7"/>
      <c r="C23" s="7"/>
      <c r="D23" s="7"/>
      <c r="E23" s="7"/>
      <c r="G23" s="5"/>
      <c r="H23" s="5"/>
      <c r="I23" s="5"/>
      <c r="J23" s="5"/>
      <c r="K23" s="5"/>
      <c r="M23" s="6"/>
      <c r="N23" s="6"/>
      <c r="O23" s="6"/>
      <c r="P23" s="6"/>
      <c r="Q23" s="6"/>
    </row>
    <row r="24" spans="1:17" x14ac:dyDescent="0.25">
      <c r="A24" t="s">
        <v>25</v>
      </c>
      <c r="B24">
        <v>6.48</v>
      </c>
      <c r="C24">
        <v>410</v>
      </c>
      <c r="D24">
        <v>1.2</v>
      </c>
      <c r="E24" s="2">
        <f>B24*C24*D24</f>
        <v>3188.1600000000003</v>
      </c>
      <c r="G24" t="s">
        <v>25</v>
      </c>
      <c r="H24">
        <v>6.72</v>
      </c>
      <c r="I24">
        <v>410</v>
      </c>
      <c r="J24">
        <v>1.2</v>
      </c>
      <c r="K24" s="2">
        <f>H24*I24*J24</f>
        <v>3306.24</v>
      </c>
      <c r="M24" t="s">
        <v>25</v>
      </c>
      <c r="N24">
        <v>7.04</v>
      </c>
      <c r="O24">
        <v>410</v>
      </c>
      <c r="P24">
        <v>1.2</v>
      </c>
      <c r="Q24" s="2">
        <f>N24*O24*P24</f>
        <v>3463.68</v>
      </c>
    </row>
    <row r="25" spans="1:17" x14ac:dyDescent="0.25">
      <c r="A25" t="s">
        <v>26</v>
      </c>
      <c r="B25">
        <v>8.0500000000000007</v>
      </c>
      <c r="C25">
        <v>410</v>
      </c>
      <c r="D25">
        <v>1.2</v>
      </c>
      <c r="E25" s="2">
        <f>B25*C25*D25</f>
        <v>3960.6000000000004</v>
      </c>
      <c r="G25" t="s">
        <v>26</v>
      </c>
      <c r="H25">
        <v>8.4499999999999993</v>
      </c>
      <c r="I25">
        <v>410</v>
      </c>
      <c r="J25">
        <v>1.2</v>
      </c>
      <c r="K25" s="2">
        <f>H25*I25*J25</f>
        <v>4157.3999999999996</v>
      </c>
      <c r="M25" t="s">
        <v>26</v>
      </c>
      <c r="N25">
        <v>8.75</v>
      </c>
      <c r="O25">
        <v>410</v>
      </c>
      <c r="P25">
        <v>1.2</v>
      </c>
      <c r="Q25" s="2">
        <f>N25*O25*P25</f>
        <v>4305</v>
      </c>
    </row>
  </sheetData>
  <mergeCells count="3">
    <mergeCell ref="A1:E1"/>
    <mergeCell ref="G1:K1"/>
    <mergeCell ref="M1:Q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410-es euro</vt:lpstr>
      <vt:lpstr>420-as euro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2026-02-10T09:51:27Z</cp:lastPrinted>
  <dcterms:created xsi:type="dcterms:W3CDTF">2022-11-16T07:53:58Z</dcterms:created>
  <dcterms:modified xsi:type="dcterms:W3CDTF">2026-05-28T09:33:53Z</dcterms:modified>
</cp:coreProperties>
</file>
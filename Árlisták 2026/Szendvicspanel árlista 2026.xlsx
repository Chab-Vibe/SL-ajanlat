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Árlisták 2026\"/>
    </mc:Choice>
  </mc:AlternateContent>
  <xr:revisionPtr revIDLastSave="0" documentId="13_ncr:1_{BBBAFFB2-67F2-42B6-AFD4-26D0E0C36D7E}" xr6:coauthVersionLast="47" xr6:coauthVersionMax="47" xr10:uidLastSave="{00000000-0000-0000-0000-000000000000}"/>
  <bookViews>
    <workbookView xWindow="-120" yWindow="-120" windowWidth="29040" windowHeight="15840" xr2:uid="{E84A344C-1458-4832-BFA9-388355CFAAB2}"/>
  </bookViews>
  <sheets>
    <sheet name="Panel árlista 2026" sheetId="3" r:id="rId1"/>
    <sheet name="Tartozékok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" l="1"/>
  <c r="E7" i="3" s="1"/>
  <c r="B4" i="3"/>
  <c r="K17" i="3"/>
  <c r="E17" i="3"/>
  <c r="K16" i="3"/>
  <c r="E16" i="3"/>
  <c r="K15" i="3"/>
  <c r="E15" i="3"/>
  <c r="K14" i="3"/>
  <c r="E14" i="3"/>
  <c r="E4" i="3"/>
</calcChain>
</file>

<file path=xl/sharedStrings.xml><?xml version="1.0" encoding="utf-8"?>
<sst xmlns="http://schemas.openxmlformats.org/spreadsheetml/2006/main" count="95" uniqueCount="65">
  <si>
    <t>Vastagság</t>
  </si>
  <si>
    <t>40 mm</t>
  </si>
  <si>
    <t>60 mm</t>
  </si>
  <si>
    <t>80 mm</t>
  </si>
  <si>
    <t>100 mm</t>
  </si>
  <si>
    <t>Oldalpanel (4 m, 5 m, 6 m)</t>
  </si>
  <si>
    <t>Nettó / m2</t>
  </si>
  <si>
    <t>Bruttó / m2</t>
  </si>
  <si>
    <t>RAL-7016 antracit szürke</t>
  </si>
  <si>
    <t>RAL-9002 törtfehér</t>
  </si>
  <si>
    <t>Tetőpanel (6 m és 7,5 m)</t>
  </si>
  <si>
    <t>FAMINTÁS PANELEK (DIÓ ÉS ARANYTÖLGY)</t>
  </si>
  <si>
    <t>-</t>
  </si>
  <si>
    <t>x 2,5 db / m2</t>
  </si>
  <si>
    <t>TETŐPANEL</t>
  </si>
  <si>
    <t>Fa</t>
  </si>
  <si>
    <t>80/100</t>
  </si>
  <si>
    <t>120/150</t>
  </si>
  <si>
    <t>150/180</t>
  </si>
  <si>
    <t>Fém</t>
  </si>
  <si>
    <t>110/120</t>
  </si>
  <si>
    <t>130/150</t>
  </si>
  <si>
    <t>85/95 Ft</t>
  </si>
  <si>
    <t>KALOTTE 55 Ft / DB</t>
  </si>
  <si>
    <t>x</t>
  </si>
  <si>
    <t>y</t>
  </si>
  <si>
    <t>PANEL CSATORNA</t>
  </si>
  <si>
    <t>100°    19 cm</t>
  </si>
  <si>
    <t>80°      18 cm</t>
  </si>
  <si>
    <t>60°      17 cm</t>
  </si>
  <si>
    <t>40°      16 cm</t>
  </si>
  <si>
    <t>9 cm</t>
  </si>
  <si>
    <t>10 cm</t>
  </si>
  <si>
    <t>11 cm</t>
  </si>
  <si>
    <t>12 cm</t>
  </si>
  <si>
    <t>PANEL ERESZ - 3.400 Ft / m + ÁFA</t>
  </si>
  <si>
    <t>Csatorna merevítő - 500 Ft / db + ÁFA</t>
  </si>
  <si>
    <t>Fél méterenként kell rakni!</t>
  </si>
  <si>
    <t>Tető dőlésszögét megkérdezni, hogy hány fokos!</t>
  </si>
  <si>
    <t xml:space="preserve"> + ÁFA</t>
  </si>
  <si>
    <t>OLDALPANEL</t>
  </si>
  <si>
    <t>MS</t>
  </si>
  <si>
    <t>100/130</t>
  </si>
  <si>
    <t>95/130 Ft</t>
  </si>
  <si>
    <t>130/145 Ft</t>
  </si>
  <si>
    <t>145/190 Ft</t>
  </si>
  <si>
    <t>65/70 Ft</t>
  </si>
  <si>
    <t>85/110 Ft</t>
  </si>
  <si>
    <t>70/110 Ft</t>
  </si>
  <si>
    <t>Famintás oldalpanel szélessége: 1,13 m !!!</t>
  </si>
  <si>
    <t>PANEL FELÁRAK:</t>
  </si>
  <si>
    <t>Mennyiség:</t>
  </si>
  <si>
    <t>Nettó ár:</t>
  </si>
  <si>
    <t>0 - 50 m2</t>
  </si>
  <si>
    <t>51 - 100 m2</t>
  </si>
  <si>
    <t>101 - 300 m2</t>
  </si>
  <si>
    <t>301 - 500 m2</t>
  </si>
  <si>
    <t>501 - 1000 m2</t>
  </si>
  <si>
    <t>1001 - 1500 m2</t>
  </si>
  <si>
    <t>1501 - 2000 m2</t>
  </si>
  <si>
    <t>2001 - 2500 m2</t>
  </si>
  <si>
    <t>2501 - 3000 m2</t>
  </si>
  <si>
    <t xml:space="preserve">Oldalpanel (4 m, 5 m, 6 m) </t>
  </si>
  <si>
    <t>55/60 Ft</t>
  </si>
  <si>
    <t>A végzárót Petiék csinálják, 700 Ft / db + ÁFA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</si>
</sst>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Ft&quot;;[Red]\-#,##0\ &quot;Ft&quot;"/>
    <numFmt numFmtId="164" formatCode="#,##0\ &quot;Ft&quot;"/>
  </numFmts>
  <fonts count="1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Ubuntu"/>
      <family val="2"/>
      <charset val="238"/>
    </font>
    <font>
      <sz val="11"/>
      <color rgb="FF9C5700"/>
      <name val="Ubuntu"/>
      <family val="2"/>
      <charset val="238"/>
    </font>
    <font>
      <b/>
      <sz val="11"/>
      <color rgb="FF9C57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8"/>
      <color rgb="FF0061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u/>
      <sz val="16"/>
      <color rgb="FFFF0000"/>
      <name val="Calibri"/>
      <family val="2"/>
      <charset val="238"/>
      <scheme val="minor"/>
    </font>
    <font>
      <sz val="20"/>
      <color rgb="FFFF000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28"/>
      <color rgb="FF006100"/>
      <name val="Ubuntu"/>
      <family val="2"/>
      <charset val="238"/>
    </font>
    <font>
      <b/>
      <sz val="12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4" fillId="4" borderId="11" applyNumberFormat="0" applyFont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/>
    <xf numFmtId="0" fontId="3" fillId="0" borderId="0" xfId="0" applyFont="1"/>
    <xf numFmtId="0" fontId="7" fillId="3" borderId="0" xfId="2" applyFont="1" applyAlignment="1">
      <alignment horizontal="center" vertical="center"/>
    </xf>
    <xf numFmtId="0" fontId="1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0" xfId="0" applyFont="1"/>
    <xf numFmtId="0" fontId="0" fillId="4" borderId="11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6" fontId="8" fillId="0" borderId="0" xfId="0" applyNumberFormat="1" applyFont="1" applyAlignment="1">
      <alignment horizontal="center" vertical="center"/>
    </xf>
    <xf numFmtId="0" fontId="2" fillId="4" borderId="11" xfId="3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vertical="center"/>
    </xf>
    <xf numFmtId="0" fontId="14" fillId="0" borderId="15" xfId="0" applyFont="1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7" fillId="0" borderId="0" xfId="0" applyFont="1"/>
    <xf numFmtId="49" fontId="0" fillId="4" borderId="11" xfId="3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0" fillId="2" borderId="0" xfId="1" applyFont="1" applyAlignment="1">
      <alignment horizontal="center" vertical="center"/>
    </xf>
    <xf numFmtId="0" fontId="10" fillId="2" borderId="12" xfId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15" xfId="0" applyFont="1" applyBorder="1" applyAlignment="1">
      <alignment horizontal="right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6" fillId="2" borderId="0" xfId="1" applyFont="1" applyAlignment="1">
      <alignment horizontal="center"/>
    </xf>
    <xf numFmtId="0" fontId="16" fillId="2" borderId="10" xfId="1" applyFon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4">
    <cellStyle name="Jegyzet" xfId="3" builtinId="10"/>
    <cellStyle name="Jó" xfId="1" builtinId="26"/>
    <cellStyle name="Normál" xfId="0" builtinId="0"/>
    <cellStyle name="Semleges" xfId="2" builtinId="28"/>
  </cellStyles>
  <dxfs count="0"/>
  <tableStyles count="0" defaultTableStyle="TableStyleMedium2" defaultPivotStyle="PivotStyleLight16"/>
  <colors>
    <mruColors>
      <color rgb="FFFFFF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8</xdr:row>
      <xdr:rowOff>58018</xdr:rowOff>
    </xdr:from>
    <xdr:to>
      <xdr:col>4</xdr:col>
      <xdr:colOff>56282</xdr:colOff>
      <xdr:row>16</xdr:row>
      <xdr:rowOff>114300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4B9C96E0-D132-CBBB-358E-ACE7148D7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2877418"/>
          <a:ext cx="2875682" cy="2875682"/>
        </a:xfrm>
        <a:prstGeom prst="rect">
          <a:avLst/>
        </a:prstGeom>
      </xdr:spPr>
    </xdr:pic>
    <xdr:clientData/>
  </xdr:twoCellAnchor>
  <xdr:twoCellAnchor editAs="oneCell">
    <xdr:from>
      <xdr:col>8</xdr:col>
      <xdr:colOff>91722</xdr:colOff>
      <xdr:row>8</xdr:row>
      <xdr:rowOff>295275</xdr:rowOff>
    </xdr:from>
    <xdr:to>
      <xdr:col>10</xdr:col>
      <xdr:colOff>477118</xdr:colOff>
      <xdr:row>11</xdr:row>
      <xdr:rowOff>342900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00F726C6-0C02-EA2B-84D9-F84F50A2F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69647" y="3114675"/>
          <a:ext cx="1699846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B2AA-8A85-4117-A337-1851D15230ED}">
  <dimension ref="A1:M30"/>
  <sheetViews>
    <sheetView tabSelected="1" workbookViewId="0">
      <selection activeCell="I22" sqref="I22"/>
    </sheetView>
  </sheetViews>
  <sheetFormatPr defaultRowHeight="15" x14ac:dyDescent="0.25"/>
  <cols>
    <col min="1" max="1" width="12.140625" customWidth="1"/>
    <col min="4" max="4" width="6.5703125" customWidth="1"/>
  </cols>
  <sheetData>
    <row r="1" spans="1:13" ht="21.75" thickBot="1" x14ac:dyDescent="0.4">
      <c r="A1" s="68" t="s">
        <v>11</v>
      </c>
      <c r="B1" s="68"/>
      <c r="C1" s="68"/>
      <c r="D1" s="68"/>
      <c r="E1" s="68"/>
      <c r="F1" s="68"/>
      <c r="G1" s="68"/>
      <c r="H1" s="32" t="s">
        <v>49</v>
      </c>
      <c r="I1" s="4"/>
      <c r="J1" s="4"/>
      <c r="K1" s="4"/>
      <c r="L1" s="4"/>
      <c r="M1" s="4"/>
    </row>
    <row r="2" spans="1:13" ht="19.5" thickBot="1" x14ac:dyDescent="0.3">
      <c r="A2" s="2" t="s">
        <v>0</v>
      </c>
      <c r="B2" s="69" t="s">
        <v>5</v>
      </c>
      <c r="C2" s="70"/>
      <c r="D2" s="70"/>
      <c r="E2" s="70"/>
      <c r="F2" s="70"/>
      <c r="G2" s="71"/>
      <c r="H2" s="28"/>
    </row>
    <row r="3" spans="1:13" ht="15.75" x14ac:dyDescent="0.25">
      <c r="A3" s="3"/>
      <c r="B3" s="72" t="s">
        <v>6</v>
      </c>
      <c r="C3" s="73"/>
      <c r="D3" s="74"/>
      <c r="E3" s="75" t="s">
        <v>7</v>
      </c>
      <c r="F3" s="73"/>
      <c r="G3" s="76"/>
      <c r="H3" s="32"/>
    </row>
    <row r="4" spans="1:13" ht="15.75" x14ac:dyDescent="0.25">
      <c r="A4" s="30" t="s">
        <v>1</v>
      </c>
      <c r="B4" s="60">
        <f>8500*1.1</f>
        <v>9350</v>
      </c>
      <c r="C4" s="61"/>
      <c r="D4" s="62"/>
      <c r="E4" s="63">
        <f>B4*1.27</f>
        <v>11874.5</v>
      </c>
      <c r="F4" s="61"/>
      <c r="G4" s="64"/>
      <c r="H4" s="32"/>
    </row>
    <row r="5" spans="1:13" x14ac:dyDescent="0.25">
      <c r="A5" s="30" t="s">
        <v>2</v>
      </c>
      <c r="B5" s="60" t="s">
        <v>12</v>
      </c>
      <c r="C5" s="61"/>
      <c r="D5" s="62"/>
      <c r="E5" s="63" t="s">
        <v>12</v>
      </c>
      <c r="F5" s="61"/>
      <c r="G5" s="64"/>
    </row>
    <row r="6" spans="1:13" x14ac:dyDescent="0.25">
      <c r="A6" s="30" t="s">
        <v>3</v>
      </c>
      <c r="B6" s="60" t="s">
        <v>12</v>
      </c>
      <c r="C6" s="61"/>
      <c r="D6" s="62"/>
      <c r="E6" s="63" t="s">
        <v>12</v>
      </c>
      <c r="F6" s="61"/>
      <c r="G6" s="64"/>
    </row>
    <row r="7" spans="1:13" ht="15.75" thickBot="1" x14ac:dyDescent="0.3">
      <c r="A7" s="31" t="s">
        <v>4</v>
      </c>
      <c r="B7" s="60">
        <f>11000*1.1</f>
        <v>12100.000000000002</v>
      </c>
      <c r="C7" s="61"/>
      <c r="D7" s="62"/>
      <c r="E7" s="55">
        <f t="shared" ref="E7" si="0">B7*1.27</f>
        <v>15367.000000000002</v>
      </c>
      <c r="F7" s="56"/>
      <c r="G7" s="57"/>
    </row>
    <row r="10" spans="1:13" x14ac:dyDescent="0.25">
      <c r="A10" s="53" t="s">
        <v>41</v>
      </c>
      <c r="B10" s="53"/>
    </row>
    <row r="11" spans="1:13" ht="15.75" thickBot="1" x14ac:dyDescent="0.3">
      <c r="A11" s="54"/>
      <c r="B11" s="54"/>
    </row>
    <row r="12" spans="1:13" ht="19.5" thickBot="1" x14ac:dyDescent="0.3">
      <c r="A12" s="2" t="s">
        <v>0</v>
      </c>
      <c r="B12" s="65" t="s">
        <v>10</v>
      </c>
      <c r="C12" s="66"/>
      <c r="D12" s="66"/>
      <c r="E12" s="66"/>
      <c r="F12" s="66"/>
      <c r="G12" s="66"/>
      <c r="H12" s="66" t="s">
        <v>62</v>
      </c>
      <c r="I12" s="66"/>
      <c r="J12" s="66"/>
      <c r="K12" s="66"/>
      <c r="L12" s="66"/>
      <c r="M12" s="67"/>
    </row>
    <row r="13" spans="1:13" x14ac:dyDescent="0.25">
      <c r="A13" s="3"/>
      <c r="B13" s="25" t="s">
        <v>6</v>
      </c>
      <c r="C13" s="26"/>
      <c r="D13" s="27"/>
      <c r="E13" s="24" t="s">
        <v>7</v>
      </c>
      <c r="F13" s="26"/>
      <c r="G13" s="27"/>
      <c r="H13" s="24" t="s">
        <v>6</v>
      </c>
      <c r="I13" s="26"/>
      <c r="J13" s="27"/>
      <c r="K13" s="24" t="s">
        <v>7</v>
      </c>
      <c r="L13" s="26"/>
      <c r="M13" s="29"/>
    </row>
    <row r="14" spans="1:13" x14ac:dyDescent="0.25">
      <c r="A14" s="30" t="s">
        <v>1</v>
      </c>
      <c r="B14" s="60">
        <v>7180</v>
      </c>
      <c r="C14" s="61"/>
      <c r="D14" s="62"/>
      <c r="E14" s="63">
        <f>B14*1.27</f>
        <v>9118.6</v>
      </c>
      <c r="F14" s="61"/>
      <c r="G14" s="62"/>
      <c r="H14" s="63">
        <v>6570</v>
      </c>
      <c r="I14" s="61"/>
      <c r="J14" s="62"/>
      <c r="K14" s="63">
        <f>H14*1.27</f>
        <v>8343.9</v>
      </c>
      <c r="L14" s="61"/>
      <c r="M14" s="64"/>
    </row>
    <row r="15" spans="1:13" x14ac:dyDescent="0.25">
      <c r="A15" s="30" t="s">
        <v>2</v>
      </c>
      <c r="B15" s="60">
        <v>8150</v>
      </c>
      <c r="C15" s="61"/>
      <c r="D15" s="62"/>
      <c r="E15" s="63">
        <f t="shared" ref="E15:E17" si="1">B15*1.27</f>
        <v>10350.5</v>
      </c>
      <c r="F15" s="61"/>
      <c r="G15" s="62"/>
      <c r="H15" s="63">
        <v>7630</v>
      </c>
      <c r="I15" s="61"/>
      <c r="J15" s="62"/>
      <c r="K15" s="63">
        <f t="shared" ref="K15:K17" si="2">H15*1.27</f>
        <v>9690.1</v>
      </c>
      <c r="L15" s="61"/>
      <c r="M15" s="64"/>
    </row>
    <row r="16" spans="1:13" x14ac:dyDescent="0.25">
      <c r="A16" s="30" t="s">
        <v>3</v>
      </c>
      <c r="B16" s="60">
        <v>9470</v>
      </c>
      <c r="C16" s="61"/>
      <c r="D16" s="62"/>
      <c r="E16" s="63">
        <f t="shared" si="1"/>
        <v>12026.9</v>
      </c>
      <c r="F16" s="61"/>
      <c r="G16" s="62"/>
      <c r="H16" s="63">
        <v>8890</v>
      </c>
      <c r="I16" s="61"/>
      <c r="J16" s="62"/>
      <c r="K16" s="63">
        <f t="shared" si="2"/>
        <v>11290.3</v>
      </c>
      <c r="L16" s="61"/>
      <c r="M16" s="64"/>
    </row>
    <row r="17" spans="1:13" ht="15.75" thickBot="1" x14ac:dyDescent="0.3">
      <c r="A17" s="31" t="s">
        <v>4</v>
      </c>
      <c r="B17" s="59">
        <v>10670</v>
      </c>
      <c r="C17" s="56"/>
      <c r="D17" s="58"/>
      <c r="E17" s="55">
        <f t="shared" si="1"/>
        <v>13550.9</v>
      </c>
      <c r="F17" s="56"/>
      <c r="G17" s="58"/>
      <c r="H17" s="55">
        <v>10330</v>
      </c>
      <c r="I17" s="56"/>
      <c r="J17" s="58"/>
      <c r="K17" s="55">
        <f t="shared" si="2"/>
        <v>13119.1</v>
      </c>
      <c r="L17" s="56"/>
      <c r="M17" s="57"/>
    </row>
    <row r="18" spans="1:13" ht="18.75" x14ac:dyDescent="0.25">
      <c r="B18" s="52" t="s">
        <v>8</v>
      </c>
      <c r="C18" s="52"/>
      <c r="D18" s="52"/>
      <c r="E18" s="52"/>
      <c r="F18" s="52"/>
      <c r="G18" s="52"/>
      <c r="H18" s="52" t="s">
        <v>9</v>
      </c>
      <c r="I18" s="52"/>
      <c r="J18" s="52"/>
      <c r="K18" s="52"/>
      <c r="L18" s="52"/>
      <c r="M18" s="52"/>
    </row>
    <row r="19" spans="1:13" ht="15.75" customHeight="1" x14ac:dyDescent="0.25"/>
    <row r="20" spans="1:13" ht="21" customHeight="1" x14ac:dyDescent="0.25">
      <c r="A20" s="48" t="s">
        <v>50</v>
      </c>
      <c r="B20" s="49"/>
      <c r="C20" s="47" t="s">
        <v>51</v>
      </c>
      <c r="D20" s="47"/>
      <c r="E20" s="47" t="s">
        <v>52</v>
      </c>
      <c r="F20" s="47"/>
    </row>
    <row r="21" spans="1:13" x14ac:dyDescent="0.25">
      <c r="C21" s="46" t="s">
        <v>53</v>
      </c>
      <c r="D21" s="46"/>
      <c r="E21" s="51">
        <v>12000</v>
      </c>
      <c r="F21" s="51"/>
    </row>
    <row r="22" spans="1:13" x14ac:dyDescent="0.25">
      <c r="C22" s="46" t="s">
        <v>54</v>
      </c>
      <c r="D22" s="46"/>
      <c r="E22" s="51">
        <v>24000</v>
      </c>
      <c r="F22" s="51"/>
    </row>
    <row r="23" spans="1:13" x14ac:dyDescent="0.25">
      <c r="C23" s="46" t="s">
        <v>55</v>
      </c>
      <c r="D23" s="46"/>
      <c r="E23" s="51">
        <v>34300</v>
      </c>
      <c r="F23" s="51"/>
    </row>
    <row r="24" spans="1:13" x14ac:dyDescent="0.25">
      <c r="C24" s="46" t="s">
        <v>56</v>
      </c>
      <c r="D24" s="46"/>
      <c r="E24" s="51">
        <v>49800</v>
      </c>
      <c r="F24" s="51"/>
    </row>
    <row r="25" spans="1:13" x14ac:dyDescent="0.25">
      <c r="C25" s="46" t="s">
        <v>57</v>
      </c>
      <c r="D25" s="46"/>
      <c r="E25" s="51">
        <v>60000</v>
      </c>
      <c r="F25" s="51"/>
    </row>
    <row r="26" spans="1:13" x14ac:dyDescent="0.25">
      <c r="C26" s="46" t="s">
        <v>58</v>
      </c>
      <c r="D26" s="46"/>
      <c r="E26" s="51">
        <v>82300</v>
      </c>
      <c r="F26" s="51"/>
    </row>
    <row r="27" spans="1:13" x14ac:dyDescent="0.25">
      <c r="C27" s="46" t="s">
        <v>59</v>
      </c>
      <c r="D27" s="46"/>
      <c r="E27" s="51">
        <v>96000</v>
      </c>
      <c r="F27" s="51"/>
    </row>
    <row r="28" spans="1:13" x14ac:dyDescent="0.25">
      <c r="C28" s="46" t="s">
        <v>60</v>
      </c>
      <c r="D28" s="46"/>
      <c r="E28" s="51">
        <v>113000</v>
      </c>
      <c r="F28" s="51"/>
    </row>
    <row r="29" spans="1:13" x14ac:dyDescent="0.25">
      <c r="C29" s="46" t="s">
        <v>61</v>
      </c>
      <c r="D29" s="46"/>
      <c r="E29" s="51">
        <v>120000</v>
      </c>
      <c r="F29" s="51"/>
    </row>
    <row r="30" spans="1:13" x14ac:dyDescent="0.25">
      <c r="C30" s="50"/>
      <c r="D30" s="50"/>
      <c r="E30" s="50"/>
      <c r="F30" s="50"/>
    </row>
  </sheetData>
  <mergeCells count="56">
    <mergeCell ref="A1:G1"/>
    <mergeCell ref="B2:G2"/>
    <mergeCell ref="E7:G7"/>
    <mergeCell ref="E6:G6"/>
    <mergeCell ref="B7:D7"/>
    <mergeCell ref="B6:D6"/>
    <mergeCell ref="B5:D5"/>
    <mergeCell ref="E5:G5"/>
    <mergeCell ref="B3:D3"/>
    <mergeCell ref="E3:G3"/>
    <mergeCell ref="B4:D4"/>
    <mergeCell ref="E4:G4"/>
    <mergeCell ref="E14:G14"/>
    <mergeCell ref="H14:J14"/>
    <mergeCell ref="K14:M14"/>
    <mergeCell ref="B12:G12"/>
    <mergeCell ref="H12:M12"/>
    <mergeCell ref="B18:G18"/>
    <mergeCell ref="H18:M18"/>
    <mergeCell ref="A10:B11"/>
    <mergeCell ref="K17:M17"/>
    <mergeCell ref="H17:J17"/>
    <mergeCell ref="E17:G17"/>
    <mergeCell ref="B17:D17"/>
    <mergeCell ref="B15:D15"/>
    <mergeCell ref="E15:G15"/>
    <mergeCell ref="H15:J15"/>
    <mergeCell ref="K15:M15"/>
    <mergeCell ref="B16:D16"/>
    <mergeCell ref="E16:G16"/>
    <mergeCell ref="H16:J16"/>
    <mergeCell ref="K16:M16"/>
    <mergeCell ref="B14:D14"/>
    <mergeCell ref="C20:D20"/>
    <mergeCell ref="E20:F20"/>
    <mergeCell ref="A20:B20"/>
    <mergeCell ref="E30:F30"/>
    <mergeCell ref="E29:F29"/>
    <mergeCell ref="E28:F28"/>
    <mergeCell ref="E27:F27"/>
    <mergeCell ref="E26:F26"/>
    <mergeCell ref="E25:F25"/>
    <mergeCell ref="E24:F24"/>
    <mergeCell ref="E23:F23"/>
    <mergeCell ref="E22:F22"/>
    <mergeCell ref="E21:F21"/>
    <mergeCell ref="C30:D30"/>
    <mergeCell ref="C29:D29"/>
    <mergeCell ref="C28:D28"/>
    <mergeCell ref="C22:D22"/>
    <mergeCell ref="C21:D21"/>
    <mergeCell ref="C27:D27"/>
    <mergeCell ref="C26:D26"/>
    <mergeCell ref="C25:D25"/>
    <mergeCell ref="C24:D24"/>
    <mergeCell ref="C23:D2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9BA0-309F-4BF2-958E-15DA9C6E642C}">
  <dimension ref="A1:N21"/>
  <sheetViews>
    <sheetView showWhiteSpace="0" view="pageLayout" zoomScaleNormal="100" workbookViewId="0">
      <selection activeCell="K15" sqref="K15"/>
    </sheetView>
  </sheetViews>
  <sheetFormatPr defaultRowHeight="15" x14ac:dyDescent="0.25"/>
  <cols>
    <col min="1" max="1" width="12.5703125" customWidth="1"/>
    <col min="4" max="4" width="9.140625" customWidth="1"/>
    <col min="6" max="7" width="9.140625" customWidth="1"/>
    <col min="10" max="10" width="9.140625" customWidth="1"/>
    <col min="12" max="12" width="9.140625" customWidth="1"/>
    <col min="13" max="13" width="27.85546875" customWidth="1"/>
    <col min="14" max="14" width="9.140625" customWidth="1"/>
    <col min="19" max="19" width="12.140625" bestFit="1" customWidth="1"/>
    <col min="20" max="20" width="3.85546875" customWidth="1"/>
    <col min="26" max="26" width="12.140625" bestFit="1" customWidth="1"/>
  </cols>
  <sheetData>
    <row r="1" spans="1:14" s="1" customFormat="1" ht="28.35" customHeight="1" x14ac:dyDescent="0.25">
      <c r="A1" s="36" t="s">
        <v>40</v>
      </c>
      <c r="B1" s="35"/>
      <c r="C1" s="35"/>
      <c r="D1" s="35"/>
      <c r="E1" s="35"/>
      <c r="F1" s="5" t="s">
        <v>13</v>
      </c>
      <c r="G1"/>
      <c r="H1" s="35" t="s">
        <v>14</v>
      </c>
      <c r="I1" s="35"/>
      <c r="J1" s="35"/>
      <c r="K1" s="35"/>
      <c r="L1" s="35"/>
      <c r="M1" s="5" t="s">
        <v>13</v>
      </c>
    </row>
    <row r="2" spans="1:14" ht="28.35" customHeight="1" x14ac:dyDescent="0.25">
      <c r="A2" s="6"/>
      <c r="B2" s="7" t="s">
        <v>1</v>
      </c>
      <c r="C2" s="7" t="s">
        <v>2</v>
      </c>
      <c r="D2" s="7" t="s">
        <v>3</v>
      </c>
      <c r="E2" s="7" t="s">
        <v>4</v>
      </c>
      <c r="I2" s="7" t="s">
        <v>1</v>
      </c>
      <c r="J2" s="7" t="s">
        <v>2</v>
      </c>
      <c r="K2" s="7" t="s">
        <v>3</v>
      </c>
      <c r="L2" s="7" t="s">
        <v>4</v>
      </c>
    </row>
    <row r="3" spans="1:14" ht="28.35" customHeight="1" x14ac:dyDescent="0.25">
      <c r="A3" s="13" t="s">
        <v>15</v>
      </c>
      <c r="B3" s="10" t="s">
        <v>16</v>
      </c>
      <c r="C3" s="10" t="s">
        <v>42</v>
      </c>
      <c r="D3" s="10" t="s">
        <v>21</v>
      </c>
      <c r="E3" s="10" t="s">
        <v>18</v>
      </c>
      <c r="H3" s="13" t="s">
        <v>15</v>
      </c>
      <c r="I3" s="10">
        <v>130</v>
      </c>
      <c r="J3" s="10">
        <v>150</v>
      </c>
      <c r="K3" s="10">
        <v>180</v>
      </c>
      <c r="L3" s="10">
        <v>200</v>
      </c>
    </row>
    <row r="4" spans="1:14" ht="28.35" customHeight="1" x14ac:dyDescent="0.3">
      <c r="A4" s="9"/>
      <c r="B4" s="11" t="s">
        <v>22</v>
      </c>
      <c r="C4" s="11" t="s">
        <v>43</v>
      </c>
      <c r="D4" s="11" t="s">
        <v>44</v>
      </c>
      <c r="E4" s="11" t="s">
        <v>45</v>
      </c>
      <c r="F4" s="22" t="s">
        <v>39</v>
      </c>
      <c r="H4" s="9"/>
      <c r="I4" s="12">
        <v>130</v>
      </c>
      <c r="J4" s="12">
        <v>145</v>
      </c>
      <c r="K4" s="12">
        <v>190</v>
      </c>
      <c r="L4" s="12">
        <v>220</v>
      </c>
      <c r="M4" s="22" t="s">
        <v>39</v>
      </c>
    </row>
    <row r="5" spans="1:14" ht="28.35" customHeight="1" x14ac:dyDescent="0.25">
      <c r="A5" s="13" t="s">
        <v>19</v>
      </c>
      <c r="B5" s="10">
        <v>65</v>
      </c>
      <c r="C5" s="33" t="s">
        <v>16</v>
      </c>
      <c r="D5" s="10" t="s">
        <v>20</v>
      </c>
      <c r="E5" s="10" t="s">
        <v>21</v>
      </c>
      <c r="F5" s="22"/>
      <c r="H5" s="13" t="s">
        <v>19</v>
      </c>
      <c r="I5" s="10" t="s">
        <v>20</v>
      </c>
      <c r="J5" s="10" t="s">
        <v>17</v>
      </c>
      <c r="K5" s="10">
        <v>150</v>
      </c>
      <c r="L5" s="10">
        <v>180</v>
      </c>
      <c r="M5" s="22"/>
    </row>
    <row r="6" spans="1:14" ht="28.35" customHeight="1" x14ac:dyDescent="0.25">
      <c r="B6" s="12">
        <v>45</v>
      </c>
      <c r="C6" s="34" t="s">
        <v>63</v>
      </c>
      <c r="D6" s="11" t="s">
        <v>46</v>
      </c>
      <c r="E6" s="11" t="s">
        <v>47</v>
      </c>
      <c r="F6" s="22" t="s">
        <v>39</v>
      </c>
      <c r="H6" s="6"/>
      <c r="I6" s="11" t="s">
        <v>46</v>
      </c>
      <c r="J6" s="11" t="s">
        <v>48</v>
      </c>
      <c r="K6" s="12">
        <v>110</v>
      </c>
      <c r="L6" s="12">
        <v>150</v>
      </c>
      <c r="M6" s="22" t="s">
        <v>39</v>
      </c>
    </row>
    <row r="7" spans="1:14" ht="28.35" customHeight="1" x14ac:dyDescent="0.3">
      <c r="A7" s="15" t="s">
        <v>23</v>
      </c>
      <c r="B7" s="16"/>
      <c r="C7" s="16"/>
      <c r="D7" s="16"/>
      <c r="E7" s="16"/>
      <c r="F7" s="16"/>
      <c r="G7" s="16"/>
      <c r="H7" s="16"/>
      <c r="I7" s="17"/>
      <c r="J7" s="17"/>
      <c r="K7" s="17"/>
      <c r="L7" s="17"/>
      <c r="M7" s="16"/>
      <c r="N7" s="16"/>
    </row>
    <row r="8" spans="1:14" ht="28.35" customHeight="1" x14ac:dyDescent="0.3">
      <c r="A8" s="8" t="s">
        <v>35</v>
      </c>
      <c r="B8" s="20"/>
      <c r="C8" s="14"/>
      <c r="F8" s="37" t="s">
        <v>26</v>
      </c>
      <c r="G8" s="37"/>
      <c r="H8" s="37"/>
      <c r="K8" s="44" t="s">
        <v>36</v>
      </c>
      <c r="L8" s="44"/>
      <c r="M8" s="44"/>
      <c r="N8" s="44"/>
    </row>
    <row r="9" spans="1:14" ht="28.35" customHeight="1" x14ac:dyDescent="0.4">
      <c r="F9" s="18" t="s">
        <v>24</v>
      </c>
      <c r="G9" s="38" t="s">
        <v>25</v>
      </c>
      <c r="H9" s="38"/>
      <c r="L9" s="45" t="s">
        <v>37</v>
      </c>
      <c r="M9" s="45"/>
      <c r="N9" s="45"/>
    </row>
    <row r="10" spans="1:14" ht="28.35" customHeight="1" x14ac:dyDescent="0.35">
      <c r="E10" s="40" t="s">
        <v>27</v>
      </c>
      <c r="F10" s="41"/>
      <c r="G10" s="39" t="s">
        <v>31</v>
      </c>
      <c r="H10" s="39"/>
      <c r="K10" s="19"/>
      <c r="L10" s="19"/>
      <c r="M10" s="19"/>
      <c r="N10" s="19"/>
    </row>
    <row r="11" spans="1:14" ht="28.35" customHeight="1" x14ac:dyDescent="0.35">
      <c r="E11" s="40" t="s">
        <v>28</v>
      </c>
      <c r="F11" s="41"/>
      <c r="G11" s="39" t="s">
        <v>32</v>
      </c>
      <c r="H11" s="39"/>
      <c r="L11" s="42" t="s">
        <v>64</v>
      </c>
      <c r="M11" s="42"/>
      <c r="N11" s="19"/>
    </row>
    <row r="12" spans="1:14" ht="28.35" customHeight="1" x14ac:dyDescent="0.35">
      <c r="E12" s="40" t="s">
        <v>29</v>
      </c>
      <c r="F12" s="41"/>
      <c r="G12" s="39" t="s">
        <v>33</v>
      </c>
      <c r="H12" s="39"/>
      <c r="L12" s="19"/>
      <c r="M12" s="19"/>
      <c r="N12" s="19"/>
    </row>
    <row r="13" spans="1:14" ht="28.35" customHeight="1" x14ac:dyDescent="0.35">
      <c r="E13" s="40" t="s">
        <v>30</v>
      </c>
      <c r="F13" s="41"/>
      <c r="G13" s="39" t="s">
        <v>34</v>
      </c>
      <c r="H13" s="39"/>
    </row>
    <row r="14" spans="1:14" ht="28.35" customHeight="1" x14ac:dyDescent="0.25">
      <c r="F14" s="23"/>
      <c r="G14" s="23"/>
      <c r="H14" s="23"/>
    </row>
    <row r="15" spans="1:14" ht="28.35" customHeight="1" x14ac:dyDescent="0.25">
      <c r="E15" s="21"/>
      <c r="F15" s="43" t="s">
        <v>38</v>
      </c>
      <c r="G15" s="43"/>
      <c r="H15" s="43"/>
    </row>
    <row r="16" spans="1:14" ht="28.35" customHeight="1" x14ac:dyDescent="0.25">
      <c r="F16" s="43"/>
      <c r="G16" s="43"/>
      <c r="H16" s="43"/>
    </row>
    <row r="17" ht="28.35" customHeight="1" x14ac:dyDescent="0.25"/>
    <row r="18" ht="28.35" customHeight="1" x14ac:dyDescent="0.25"/>
    <row r="19" ht="28.35" customHeight="1" x14ac:dyDescent="0.25"/>
    <row r="20" ht="28.35" customHeight="1" x14ac:dyDescent="0.25"/>
    <row r="21" ht="28.35" customHeight="1" x14ac:dyDescent="0.25"/>
  </sheetData>
  <mergeCells count="16">
    <mergeCell ref="F15:H16"/>
    <mergeCell ref="K8:N8"/>
    <mergeCell ref="L9:N9"/>
    <mergeCell ref="H1:L1"/>
    <mergeCell ref="A1:E1"/>
    <mergeCell ref="F8:H8"/>
    <mergeCell ref="G9:H9"/>
    <mergeCell ref="G13:H13"/>
    <mergeCell ref="G12:H12"/>
    <mergeCell ref="G11:H11"/>
    <mergeCell ref="G10:H10"/>
    <mergeCell ref="E13:F13"/>
    <mergeCell ref="E12:F12"/>
    <mergeCell ref="E11:F11"/>
    <mergeCell ref="E10:F10"/>
    <mergeCell ref="L11:M11"/>
  </mergeCells>
  <printOptions horizontalCentered="1" verticalCentered="1"/>
  <pageMargins left="0.25" right="0.25" top="0.75" bottom="0.75" header="0.3" footer="0.3"/>
  <pageSetup paperSize="9" orientation="landscape" r:id="rId1"/>
  <headerFooter>
    <oddHeader>&amp;L&amp;G&amp;CSzendvicspanel árlista&amp;RÉrvényes 2023.02.01-től visszavonásig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Panel árlista 2026</vt:lpstr>
      <vt:lpstr>Tartozékok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2026-05-28T09:22:14Z</cp:lastPrinted>
  <dcterms:created xsi:type="dcterms:W3CDTF">2023-02-02T13:01:21Z</dcterms:created>
  <dcterms:modified xsi:type="dcterms:W3CDTF">2026-05-28T09:22:26Z</dcterms:modified>
</cp:coreProperties>
</file>
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3\"/>
    </mc:Choice>
  </mc:AlternateContent>
  <xr:revisionPtr revIDLastSave="0" documentId="13_ncr:1_{53472145-4AB3-4FC1-893A-2084EE546C26}" xr6:coauthVersionLast="47" xr6:coauthVersionMax="47" xr10:uidLastSave="{00000000-0000-0000-0000-000000000000}"/>
  <bookViews>
    <workbookView xWindow="-120" yWindow="-120" windowWidth="29040" windowHeight="15840" xr2:uid="{E84A344C-1458-4832-BFA9-388355CFAAB2}"/>
  </bookViews>
  <sheets>
    <sheet name="Munka1" sheetId="1" r:id="rId1"/>
    <sheet name="Munka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3" l="1"/>
  <c r="E28" i="3"/>
  <c r="K27" i="3"/>
  <c r="E27" i="3"/>
  <c r="K26" i="3"/>
  <c r="E26" i="3"/>
  <c r="K25" i="3"/>
  <c r="E25" i="3"/>
  <c r="E18" i="3"/>
  <c r="E15" i="3"/>
  <c r="K8" i="3"/>
  <c r="E8" i="3"/>
  <c r="K7" i="3"/>
  <c r="E7" i="3"/>
  <c r="K6" i="3"/>
  <c r="E6" i="3"/>
  <c r="K5" i="3"/>
  <c r="E5" i="3"/>
  <c r="E16" i="1"/>
  <c r="E13" i="1"/>
  <c r="K6" i="1"/>
  <c r="K5" i="1"/>
  <c r="K4" i="1"/>
  <c r="K3" i="1"/>
  <c r="E4" i="1"/>
  <c r="E5" i="1"/>
  <c r="E6" i="1"/>
  <c r="E3" i="1"/>
</calcChain>
</file>

<file path=xl/sharedStrings.xml><?xml version="1.0" encoding="utf-8"?>
<sst xmlns="http://schemas.openxmlformats.org/spreadsheetml/2006/main" count="124" uniqueCount="54">
  <si>
    <t>Vastagság</t>
  </si>
  <si>
    <t>40 mm</t>
  </si>
  <si>
    <t>60 mm</t>
  </si>
  <si>
    <t>80 mm</t>
  </si>
  <si>
    <t>100 mm</t>
  </si>
  <si>
    <t>Oldalpanel (4 m, 5 m, 6 m)</t>
  </si>
  <si>
    <t>Nettó / m2</t>
  </si>
  <si>
    <t>Bruttó / m2</t>
  </si>
  <si>
    <t>RAL-7016 antracit szürke</t>
  </si>
  <si>
    <t>RAL-9002 törtfehér</t>
  </si>
  <si>
    <t>Tetőpanel (6 m és 7,5 m)</t>
  </si>
  <si>
    <t>FAMINTÁS PANELEK (DIÓ ÉS ARANYTÖLGY)</t>
  </si>
  <si>
    <t>-</t>
  </si>
  <si>
    <t>x 2,5 db / m2</t>
  </si>
  <si>
    <t>TETŐPANEL</t>
  </si>
  <si>
    <t>Fa</t>
  </si>
  <si>
    <t>80/100</t>
  </si>
  <si>
    <t>120/150</t>
  </si>
  <si>
    <t>150/180</t>
  </si>
  <si>
    <t>Fém</t>
  </si>
  <si>
    <t>110/120</t>
  </si>
  <si>
    <t>130/150</t>
  </si>
  <si>
    <t>85/95 Ft</t>
  </si>
  <si>
    <t>KALOTTE 55 Ft / DB</t>
  </si>
  <si>
    <t>x</t>
  </si>
  <si>
    <t>y</t>
  </si>
  <si>
    <t>PANEL CSATORNA</t>
  </si>
  <si>
    <t>100°    19 cm</t>
  </si>
  <si>
    <t>80°      18 cm</t>
  </si>
  <si>
    <t>60°      17 cm</t>
  </si>
  <si>
    <t>40°      16 cm</t>
  </si>
  <si>
    <t>9 cm</t>
  </si>
  <si>
    <t>10 cm</t>
  </si>
  <si>
    <t>11 cm</t>
  </si>
  <si>
    <t>12 cm</t>
  </si>
  <si>
    <t>PANEL ERESZ - 3.400 Ft / m + ÁFA</t>
  </si>
  <si>
    <t>Csatorna merevítő - 500 Ft / db + ÁFA</t>
  </si>
  <si>
    <t>Fél méterenként kell rakni!</t>
  </si>
  <si>
    <t>A végzárót Petiék csinálják,              700 Ft / db + ÁFA</t>
  </si>
  <si>
    <t>Tető dőlésszögét megkérdezni, hogy hány fokos!</t>
  </si>
  <si>
    <t xml:space="preserve"> + ÁFA</t>
  </si>
  <si>
    <t>OLDALPANEL</t>
  </si>
  <si>
    <t>ÁRAJÁNLATOT KÉRNI INKÁBB!</t>
  </si>
  <si>
    <t>MS</t>
  </si>
  <si>
    <t>KP</t>
  </si>
  <si>
    <t>FAMINTÁSRA INKÁBB KÉRJÜNK ÁRAJÁNLATOT</t>
  </si>
  <si>
    <t>A GYÁRTÓTÓL!</t>
  </si>
  <si>
    <t>100/130</t>
  </si>
  <si>
    <t>95/130 Ft</t>
  </si>
  <si>
    <t>130/145 Ft</t>
  </si>
  <si>
    <t>145/190 Ft</t>
  </si>
  <si>
    <t>65/70 Ft</t>
  </si>
  <si>
    <t>85/110 Ft</t>
  </si>
  <si>
    <t>70/110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</si>
</sst>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Ft&quot;;[Red]\-#,##0\ &quot;Ft&quot;"/>
    <numFmt numFmtId="164" formatCode="#,##0\ &quot;Ft&quot;"/>
  </numFmts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Ubuntu"/>
      <family val="2"/>
      <charset val="238"/>
    </font>
    <font>
      <sz val="11"/>
      <color rgb="FF9C5700"/>
      <name val="Ubuntu"/>
      <family val="2"/>
      <charset val="238"/>
    </font>
    <font>
      <b/>
      <sz val="11"/>
      <color rgb="FF9C57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8"/>
      <color rgb="FF0061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u/>
      <sz val="16"/>
      <color rgb="FFFF0000"/>
      <name val="Calibri"/>
      <family val="2"/>
      <charset val="238"/>
      <scheme val="minor"/>
    </font>
    <font>
      <sz val="20"/>
      <color rgb="FFFF00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sz val="11"/>
      <color rgb="FF9C0006"/>
      <name val="Ubuntu"/>
      <family val="2"/>
      <charset val="238"/>
    </font>
    <font>
      <b/>
      <sz val="28"/>
      <color rgb="FF006100"/>
      <name val="Ubuntu"/>
      <family val="2"/>
      <charset val="238"/>
    </font>
    <font>
      <b/>
      <sz val="28"/>
      <color rgb="FF9C0006"/>
      <name val="Ubuntu"/>
      <family val="2"/>
      <charset val="238"/>
    </font>
    <font>
      <b/>
      <sz val="12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4" fillId="4" borderId="19" applyNumberFormat="0" applyFont="0" applyAlignment="0" applyProtection="0"/>
    <xf numFmtId="0" fontId="16" fillId="5" borderId="0" applyNumberFormat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/>
    <xf numFmtId="0" fontId="3" fillId="0" borderId="0" xfId="0" applyFont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7" fillId="3" borderId="0" xfId="2" applyFont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0" fillId="4" borderId="19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0" fontId="2" fillId="4" borderId="19" xfId="3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0" fillId="0" borderId="21" xfId="0" applyBorder="1"/>
    <xf numFmtId="0" fontId="0" fillId="0" borderId="21" xfId="0" applyBorder="1" applyAlignment="1">
      <alignment vertical="center"/>
    </xf>
    <xf numFmtId="0" fontId="14" fillId="0" borderId="23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9" fillId="0" borderId="0" xfId="0" applyFont="1"/>
    <xf numFmtId="0" fontId="3" fillId="0" borderId="18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0" fillId="2" borderId="0" xfId="1" applyFont="1" applyAlignment="1">
      <alignment horizontal="center" vertical="center"/>
    </xf>
    <xf numFmtId="0" fontId="10" fillId="2" borderId="20" xfId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23" xfId="0" applyFont="1" applyBorder="1" applyAlignment="1">
      <alignment horizontal="right"/>
    </xf>
    <xf numFmtId="0" fontId="15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7" fillId="2" borderId="0" xfId="1" applyFont="1" applyAlignment="1">
      <alignment horizontal="center"/>
    </xf>
    <xf numFmtId="0" fontId="17" fillId="2" borderId="18" xfId="1" applyFont="1" applyBorder="1" applyAlignment="1">
      <alignment horizontal="center"/>
    </xf>
    <xf numFmtId="0" fontId="18" fillId="5" borderId="0" xfId="4" applyFont="1" applyAlignment="1">
      <alignment horizontal="center" vertical="center"/>
    </xf>
    <xf numFmtId="0" fontId="18" fillId="5" borderId="18" xfId="4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3" fontId="8" fillId="0" borderId="0" xfId="0" applyNumberFormat="1" applyFont="1" applyAlignment="1">
      <alignment horizontal="center" vertical="center"/>
    </xf>
  </cellXfs>
  <cellStyles count="5">
    <cellStyle name="Jegyzet" xfId="3" builtinId="10"/>
    <cellStyle name="Jó" xfId="1" builtinId="26"/>
    <cellStyle name="Normál" xfId="0" builtinId="0"/>
    <cellStyle name="Rossz" xfId="4" builtinId="27"/>
    <cellStyle name="Semleges" xfId="2" builtinId="28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8</xdr:row>
      <xdr:rowOff>58018</xdr:rowOff>
    </xdr:from>
    <xdr:to>
      <xdr:col>17</xdr:col>
      <xdr:colOff>303932</xdr:colOff>
      <xdr:row>16</xdr:row>
      <xdr:rowOff>114300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B9C96E0-D132-CBBB-358E-ACE7148D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2877418"/>
          <a:ext cx="2875682" cy="2875682"/>
        </a:xfrm>
        <a:prstGeom prst="rect">
          <a:avLst/>
        </a:prstGeom>
      </xdr:spPr>
    </xdr:pic>
    <xdr:clientData/>
  </xdr:twoCellAnchor>
  <xdr:twoCellAnchor editAs="oneCell">
    <xdr:from>
      <xdr:col>21</xdr:col>
      <xdr:colOff>91722</xdr:colOff>
      <xdr:row>8</xdr:row>
      <xdr:rowOff>295275</xdr:rowOff>
    </xdr:from>
    <xdr:to>
      <xdr:col>23</xdr:col>
      <xdr:colOff>477118</xdr:colOff>
      <xdr:row>11</xdr:row>
      <xdr:rowOff>342900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00F726C6-0C02-EA2B-84D9-F84F50A2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647" y="3114675"/>
          <a:ext cx="1699846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9BA0-309F-4BF2-958E-15DA9C6E642C}">
  <dimension ref="A1:AA21"/>
  <sheetViews>
    <sheetView tabSelected="1" showWhiteSpace="0" view="pageLayout" topLeftCell="D1" zoomScaleNormal="100" workbookViewId="0">
      <selection activeCell="P3" sqref="P3"/>
    </sheetView>
  </sheetViews>
  <sheetFormatPr defaultRowHeight="15" x14ac:dyDescent="0.25"/>
  <cols>
    <col min="1" max="1" width="12.5703125" customWidth="1"/>
    <col min="4" max="4" width="9.140625" customWidth="1"/>
    <col min="6" max="7" width="9.140625" customWidth="1"/>
    <col min="10" max="10" width="9.140625" customWidth="1"/>
    <col min="12" max="12" width="9.140625" customWidth="1"/>
    <col min="13" max="13" width="27.85546875" customWidth="1"/>
    <col min="14" max="14" width="9.140625" customWidth="1"/>
    <col min="19" max="19" width="12.140625" bestFit="1" customWidth="1"/>
    <col min="20" max="20" width="3.85546875" customWidth="1"/>
    <col min="26" max="26" width="12.140625" bestFit="1" customWidth="1"/>
  </cols>
  <sheetData>
    <row r="1" spans="1:27" s="1" customFormat="1" ht="28.35" customHeight="1" thickBot="1" x14ac:dyDescent="0.3">
      <c r="A1" s="2" t="s">
        <v>0</v>
      </c>
      <c r="B1" s="37" t="s">
        <v>10</v>
      </c>
      <c r="C1" s="38"/>
      <c r="D1" s="38"/>
      <c r="E1" s="38"/>
      <c r="F1" s="38"/>
      <c r="G1" s="38"/>
      <c r="H1" s="38" t="s">
        <v>5</v>
      </c>
      <c r="I1" s="38"/>
      <c r="J1" s="38"/>
      <c r="K1" s="38"/>
      <c r="L1" s="38"/>
      <c r="M1" s="39"/>
      <c r="N1" s="54" t="s">
        <v>41</v>
      </c>
      <c r="O1" s="53"/>
      <c r="P1" s="53"/>
      <c r="Q1" s="53"/>
      <c r="R1" s="53"/>
      <c r="S1" s="8" t="s">
        <v>13</v>
      </c>
      <c r="T1"/>
      <c r="U1" s="53" t="s">
        <v>14</v>
      </c>
      <c r="V1" s="53"/>
      <c r="W1" s="53"/>
      <c r="X1" s="53"/>
      <c r="Y1" s="53"/>
      <c r="Z1" s="8" t="s">
        <v>13</v>
      </c>
    </row>
    <row r="2" spans="1:27" ht="28.35" customHeight="1" x14ac:dyDescent="0.25">
      <c r="A2" s="3"/>
      <c r="B2" s="47" t="s">
        <v>6</v>
      </c>
      <c r="C2" s="48"/>
      <c r="D2" s="48"/>
      <c r="E2" s="48" t="s">
        <v>7</v>
      </c>
      <c r="F2" s="48"/>
      <c r="G2" s="48"/>
      <c r="H2" s="48" t="s">
        <v>6</v>
      </c>
      <c r="I2" s="48"/>
      <c r="J2" s="48"/>
      <c r="K2" s="48" t="s">
        <v>7</v>
      </c>
      <c r="L2" s="48"/>
      <c r="M2" s="49"/>
      <c r="N2" s="9"/>
      <c r="O2" s="10" t="s">
        <v>1</v>
      </c>
      <c r="P2" s="10" t="s">
        <v>2</v>
      </c>
      <c r="Q2" s="10" t="s">
        <v>3</v>
      </c>
      <c r="R2" s="10" t="s">
        <v>4</v>
      </c>
      <c r="V2" s="10" t="s">
        <v>1</v>
      </c>
      <c r="W2" s="10" t="s">
        <v>2</v>
      </c>
      <c r="X2" s="10" t="s">
        <v>3</v>
      </c>
      <c r="Y2" s="10" t="s">
        <v>4</v>
      </c>
    </row>
    <row r="3" spans="1:27" ht="28.35" customHeight="1" x14ac:dyDescent="0.25">
      <c r="A3" s="5" t="s">
        <v>1</v>
      </c>
      <c r="B3" s="40">
        <v>6335</v>
      </c>
      <c r="C3" s="41"/>
      <c r="D3" s="41"/>
      <c r="E3" s="41">
        <f>B3*1.27</f>
        <v>8045.45</v>
      </c>
      <c r="F3" s="41"/>
      <c r="G3" s="41"/>
      <c r="H3" s="41">
        <v>5580</v>
      </c>
      <c r="I3" s="41"/>
      <c r="J3" s="41"/>
      <c r="K3" s="41">
        <f>H3*1.27</f>
        <v>7086.6</v>
      </c>
      <c r="L3" s="41"/>
      <c r="M3" s="42"/>
      <c r="N3" s="16" t="s">
        <v>15</v>
      </c>
      <c r="O3" s="13" t="s">
        <v>16</v>
      </c>
      <c r="P3" s="13" t="s">
        <v>47</v>
      </c>
      <c r="Q3" s="13" t="s">
        <v>21</v>
      </c>
      <c r="R3" s="13" t="s">
        <v>18</v>
      </c>
      <c r="U3" s="16" t="s">
        <v>15</v>
      </c>
      <c r="V3" s="13">
        <v>130</v>
      </c>
      <c r="W3" s="13">
        <v>150</v>
      </c>
      <c r="X3" s="13">
        <v>180</v>
      </c>
      <c r="Y3" s="13">
        <v>200</v>
      </c>
    </row>
    <row r="4" spans="1:27" ht="28.35" customHeight="1" x14ac:dyDescent="0.3">
      <c r="A4" s="5" t="s">
        <v>2</v>
      </c>
      <c r="B4" s="40">
        <v>7190</v>
      </c>
      <c r="C4" s="41"/>
      <c r="D4" s="41"/>
      <c r="E4" s="41">
        <f t="shared" ref="E4:E6" si="0">B4*1.27</f>
        <v>9131.2999999999993</v>
      </c>
      <c r="F4" s="41"/>
      <c r="G4" s="41"/>
      <c r="H4" s="41">
        <v>6730</v>
      </c>
      <c r="I4" s="41"/>
      <c r="J4" s="41"/>
      <c r="K4" s="41">
        <f t="shared" ref="K4:K6" si="1">H4*1.27</f>
        <v>8547.1</v>
      </c>
      <c r="L4" s="41"/>
      <c r="M4" s="42"/>
      <c r="N4" s="12"/>
      <c r="O4" s="14" t="s">
        <v>22</v>
      </c>
      <c r="P4" s="14" t="s">
        <v>48</v>
      </c>
      <c r="Q4" s="14" t="s">
        <v>49</v>
      </c>
      <c r="R4" s="14" t="s">
        <v>50</v>
      </c>
      <c r="S4" s="25" t="s">
        <v>40</v>
      </c>
      <c r="U4" s="12"/>
      <c r="V4" s="15">
        <v>130</v>
      </c>
      <c r="W4" s="15">
        <v>145</v>
      </c>
      <c r="X4" s="15">
        <v>190</v>
      </c>
      <c r="Y4" s="15">
        <v>220</v>
      </c>
      <c r="Z4" s="25" t="s">
        <v>40</v>
      </c>
    </row>
    <row r="5" spans="1:27" ht="28.35" customHeight="1" x14ac:dyDescent="0.25">
      <c r="A5" s="5" t="s">
        <v>3</v>
      </c>
      <c r="B5" s="40">
        <v>8360</v>
      </c>
      <c r="C5" s="41"/>
      <c r="D5" s="41"/>
      <c r="E5" s="41">
        <f t="shared" si="0"/>
        <v>10617.2</v>
      </c>
      <c r="F5" s="41"/>
      <c r="G5" s="41"/>
      <c r="H5" s="41">
        <v>7850</v>
      </c>
      <c r="I5" s="41"/>
      <c r="J5" s="41"/>
      <c r="K5" s="41">
        <f t="shared" si="1"/>
        <v>9969.5</v>
      </c>
      <c r="L5" s="41"/>
      <c r="M5" s="42"/>
      <c r="N5" s="16" t="s">
        <v>19</v>
      </c>
      <c r="O5" s="13">
        <v>65</v>
      </c>
      <c r="P5" s="13" t="s">
        <v>16</v>
      </c>
      <c r="Q5" s="13" t="s">
        <v>20</v>
      </c>
      <c r="R5" s="13" t="s">
        <v>21</v>
      </c>
      <c r="S5" s="25"/>
      <c r="U5" s="16" t="s">
        <v>19</v>
      </c>
      <c r="V5" s="13" t="s">
        <v>20</v>
      </c>
      <c r="W5" s="13" t="s">
        <v>17</v>
      </c>
      <c r="X5" s="13">
        <v>150</v>
      </c>
      <c r="Y5" s="13">
        <v>180</v>
      </c>
      <c r="Z5" s="25"/>
    </row>
    <row r="6" spans="1:27" ht="28.35" customHeight="1" thickBot="1" x14ac:dyDescent="0.3">
      <c r="A6" s="6" t="s">
        <v>4</v>
      </c>
      <c r="B6" s="44">
        <v>9410</v>
      </c>
      <c r="C6" s="45"/>
      <c r="D6" s="45"/>
      <c r="E6" s="45">
        <f t="shared" si="0"/>
        <v>11950.7</v>
      </c>
      <c r="F6" s="45"/>
      <c r="G6" s="45"/>
      <c r="H6" s="45">
        <v>9110</v>
      </c>
      <c r="I6" s="45"/>
      <c r="J6" s="45"/>
      <c r="K6" s="45">
        <f t="shared" si="1"/>
        <v>11569.7</v>
      </c>
      <c r="L6" s="45"/>
      <c r="M6" s="46"/>
      <c r="O6" s="15">
        <v>45</v>
      </c>
      <c r="P6" s="84">
        <v>0.91666666666666663</v>
      </c>
      <c r="Q6" s="14" t="s">
        <v>51</v>
      </c>
      <c r="R6" s="14" t="s">
        <v>52</v>
      </c>
      <c r="S6" s="25" t="s">
        <v>40</v>
      </c>
      <c r="U6" s="9"/>
      <c r="V6" s="14" t="s">
        <v>51</v>
      </c>
      <c r="W6" s="14" t="s">
        <v>53</v>
      </c>
      <c r="X6" s="15">
        <v>110</v>
      </c>
      <c r="Y6" s="15">
        <v>150</v>
      </c>
      <c r="Z6" s="25" t="s">
        <v>40</v>
      </c>
    </row>
    <row r="7" spans="1:27" ht="28.35" customHeight="1" x14ac:dyDescent="0.3">
      <c r="B7" s="43" t="s">
        <v>8</v>
      </c>
      <c r="C7" s="43"/>
      <c r="D7" s="43"/>
      <c r="E7" s="43"/>
      <c r="F7" s="43"/>
      <c r="G7" s="43"/>
      <c r="H7" s="43" t="s">
        <v>9</v>
      </c>
      <c r="I7" s="43"/>
      <c r="J7" s="43"/>
      <c r="K7" s="43"/>
      <c r="L7" s="43"/>
      <c r="M7" s="43"/>
      <c r="N7" s="18" t="s">
        <v>23</v>
      </c>
      <c r="O7" s="19"/>
      <c r="P7" s="19"/>
      <c r="Q7" s="19"/>
      <c r="R7" s="19"/>
      <c r="S7" s="19"/>
      <c r="T7" s="19"/>
      <c r="U7" s="19"/>
      <c r="V7" s="20"/>
      <c r="W7" s="20"/>
      <c r="X7" s="20"/>
      <c r="Y7" s="20"/>
      <c r="Z7" s="19"/>
      <c r="AA7" s="19"/>
    </row>
    <row r="8" spans="1:27" ht="28.35" customHeight="1" x14ac:dyDescent="0.3">
      <c r="N8" s="11" t="s">
        <v>35</v>
      </c>
      <c r="O8" s="23"/>
      <c r="P8" s="17"/>
      <c r="S8" s="55" t="s">
        <v>26</v>
      </c>
      <c r="T8" s="55"/>
      <c r="U8" s="55"/>
      <c r="X8" s="63" t="s">
        <v>36</v>
      </c>
      <c r="Y8" s="63"/>
      <c r="Z8" s="63"/>
      <c r="AA8" s="63"/>
    </row>
    <row r="9" spans="1:27" ht="28.35" customHeight="1" x14ac:dyDescent="0.4">
      <c r="S9" s="21" t="s">
        <v>24</v>
      </c>
      <c r="T9" s="56" t="s">
        <v>25</v>
      </c>
      <c r="U9" s="56"/>
      <c r="Y9" s="64" t="s">
        <v>37</v>
      </c>
      <c r="Z9" s="64"/>
      <c r="AA9" s="64"/>
    </row>
    <row r="10" spans="1:27" ht="28.35" customHeight="1" thickBot="1" x14ac:dyDescent="0.4">
      <c r="A10" s="36" t="s">
        <v>11</v>
      </c>
      <c r="B10" s="36"/>
      <c r="C10" s="36"/>
      <c r="D10" s="36"/>
      <c r="E10" s="36"/>
      <c r="F10" s="36"/>
      <c r="G10" s="36"/>
      <c r="H10" s="4"/>
      <c r="I10" s="4"/>
      <c r="J10" s="4"/>
      <c r="K10" s="4"/>
      <c r="L10" s="4"/>
      <c r="M10" s="4"/>
      <c r="R10" s="58" t="s">
        <v>27</v>
      </c>
      <c r="S10" s="59"/>
      <c r="T10" s="57" t="s">
        <v>31</v>
      </c>
      <c r="U10" s="57"/>
      <c r="X10" s="22"/>
      <c r="Y10" s="22"/>
      <c r="Z10" s="22"/>
      <c r="AA10" s="22"/>
    </row>
    <row r="11" spans="1:27" ht="28.35" customHeight="1" thickBot="1" x14ac:dyDescent="0.4">
      <c r="A11" s="2" t="s">
        <v>0</v>
      </c>
      <c r="B11" s="50" t="s">
        <v>5</v>
      </c>
      <c r="C11" s="51"/>
      <c r="D11" s="51"/>
      <c r="E11" s="51"/>
      <c r="F11" s="51"/>
      <c r="G11" s="52"/>
      <c r="H11" s="60" t="s">
        <v>42</v>
      </c>
      <c r="I11" s="61"/>
      <c r="J11" s="61"/>
      <c r="K11" s="61"/>
      <c r="R11" s="58" t="s">
        <v>28</v>
      </c>
      <c r="S11" s="59"/>
      <c r="T11" s="57" t="s">
        <v>32</v>
      </c>
      <c r="U11" s="57"/>
      <c r="Y11" s="64" t="s">
        <v>38</v>
      </c>
      <c r="Z11" s="64"/>
      <c r="AA11" s="64"/>
    </row>
    <row r="12" spans="1:27" ht="28.35" customHeight="1" x14ac:dyDescent="0.35">
      <c r="A12" s="3"/>
      <c r="B12" s="48" t="s">
        <v>6</v>
      </c>
      <c r="C12" s="48"/>
      <c r="D12" s="48"/>
      <c r="E12" s="48" t="s">
        <v>7</v>
      </c>
      <c r="F12" s="48"/>
      <c r="G12" s="49"/>
      <c r="R12" s="58" t="s">
        <v>29</v>
      </c>
      <c r="S12" s="59"/>
      <c r="T12" s="57" t="s">
        <v>33</v>
      </c>
      <c r="U12" s="57"/>
      <c r="Y12" s="64"/>
      <c r="Z12" s="64"/>
      <c r="AA12" s="64"/>
    </row>
    <row r="13" spans="1:27" ht="28.35" customHeight="1" x14ac:dyDescent="0.35">
      <c r="A13" s="5" t="s">
        <v>1</v>
      </c>
      <c r="B13" s="41">
        <v>8500</v>
      </c>
      <c r="C13" s="41"/>
      <c r="D13" s="41"/>
      <c r="E13" s="41">
        <f>B13*1.27</f>
        <v>10795</v>
      </c>
      <c r="F13" s="41"/>
      <c r="G13" s="42"/>
      <c r="R13" s="58" t="s">
        <v>30</v>
      </c>
      <c r="S13" s="59"/>
      <c r="T13" s="57" t="s">
        <v>34</v>
      </c>
      <c r="U13" s="57"/>
    </row>
    <row r="14" spans="1:27" ht="28.35" customHeight="1" x14ac:dyDescent="0.25">
      <c r="A14" s="5" t="s">
        <v>2</v>
      </c>
      <c r="B14" s="41" t="s">
        <v>12</v>
      </c>
      <c r="C14" s="41"/>
      <c r="D14" s="41"/>
      <c r="E14" s="41" t="s">
        <v>12</v>
      </c>
      <c r="F14" s="41"/>
      <c r="G14" s="42"/>
      <c r="S14" s="26"/>
      <c r="T14" s="26"/>
      <c r="U14" s="26"/>
    </row>
    <row r="15" spans="1:27" ht="28.35" customHeight="1" x14ac:dyDescent="0.25">
      <c r="A15" s="5" t="s">
        <v>3</v>
      </c>
      <c r="B15" s="41" t="s">
        <v>12</v>
      </c>
      <c r="C15" s="41"/>
      <c r="D15" s="41"/>
      <c r="E15" s="41" t="s">
        <v>12</v>
      </c>
      <c r="F15" s="41"/>
      <c r="G15" s="42"/>
      <c r="R15" s="24"/>
      <c r="S15" s="62" t="s">
        <v>39</v>
      </c>
      <c r="T15" s="62"/>
      <c r="U15" s="62"/>
    </row>
    <row r="16" spans="1:27" ht="28.35" customHeight="1" thickBot="1" x14ac:dyDescent="0.3">
      <c r="A16" s="6" t="s">
        <v>4</v>
      </c>
      <c r="B16" s="45">
        <v>11000</v>
      </c>
      <c r="C16" s="45"/>
      <c r="D16" s="45"/>
      <c r="E16" s="45">
        <f t="shared" ref="E16" si="2">B16*1.27</f>
        <v>13970</v>
      </c>
      <c r="F16" s="45"/>
      <c r="G16" s="46"/>
      <c r="S16" s="62"/>
      <c r="T16" s="62"/>
      <c r="U16" s="62"/>
    </row>
    <row r="17" ht="28.35" customHeight="1" x14ac:dyDescent="0.25"/>
    <row r="18" ht="28.35" customHeight="1" x14ac:dyDescent="0.25"/>
    <row r="19" ht="28.35" customHeight="1" x14ac:dyDescent="0.25"/>
    <row r="20" ht="28.35" customHeight="1" x14ac:dyDescent="0.25"/>
    <row r="21" ht="28.35" customHeight="1" x14ac:dyDescent="0.25"/>
  </sheetData>
  <mergeCells count="53">
    <mergeCell ref="H11:K11"/>
    <mergeCell ref="S15:U16"/>
    <mergeCell ref="X8:AA8"/>
    <mergeCell ref="Y9:AA9"/>
    <mergeCell ref="Y11:AA12"/>
    <mergeCell ref="U1:Y1"/>
    <mergeCell ref="N1:R1"/>
    <mergeCell ref="S8:U8"/>
    <mergeCell ref="T9:U9"/>
    <mergeCell ref="T13:U13"/>
    <mergeCell ref="T12:U12"/>
    <mergeCell ref="T11:U11"/>
    <mergeCell ref="T10:U10"/>
    <mergeCell ref="R13:S13"/>
    <mergeCell ref="R12:S12"/>
    <mergeCell ref="R11:S11"/>
    <mergeCell ref="R10:S10"/>
    <mergeCell ref="B14:D14"/>
    <mergeCell ref="E14:G14"/>
    <mergeCell ref="B15:D15"/>
    <mergeCell ref="E15:G15"/>
    <mergeCell ref="B16:D16"/>
    <mergeCell ref="E16:G16"/>
    <mergeCell ref="B11:G11"/>
    <mergeCell ref="B12:D12"/>
    <mergeCell ref="E12:G12"/>
    <mergeCell ref="B13:D13"/>
    <mergeCell ref="E13:G13"/>
    <mergeCell ref="H6:J6"/>
    <mergeCell ref="B5:D5"/>
    <mergeCell ref="K5:M5"/>
    <mergeCell ref="K6:M6"/>
    <mergeCell ref="B2:D2"/>
    <mergeCell ref="E2:G2"/>
    <mergeCell ref="H2:J2"/>
    <mergeCell ref="K2:M2"/>
    <mergeCell ref="H3:J3"/>
    <mergeCell ref="A10:G10"/>
    <mergeCell ref="B1:G1"/>
    <mergeCell ref="H1:M1"/>
    <mergeCell ref="B3:D3"/>
    <mergeCell ref="E3:G3"/>
    <mergeCell ref="B4:D4"/>
    <mergeCell ref="K3:M3"/>
    <mergeCell ref="K4:M4"/>
    <mergeCell ref="B7:G7"/>
    <mergeCell ref="H7:M7"/>
    <mergeCell ref="B6:D6"/>
    <mergeCell ref="E4:G4"/>
    <mergeCell ref="E5:G5"/>
    <mergeCell ref="E6:G6"/>
    <mergeCell ref="H4:J4"/>
    <mergeCell ref="H5:J5"/>
  </mergeCells>
  <printOptions horizontalCentered="1" verticalCentered="1"/>
  <pageMargins left="0.25" right="0.25" top="0.75" bottom="0.75" header="0.3" footer="0.3"/>
  <pageSetup paperSize="9" orientation="landscape" r:id="rId1"/>
  <headerFooter>
    <oddHeader>&amp;L&amp;G&amp;CSzendvicspanel árlista&amp;RÉrvényes 2023.02.01-től visszavonásig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B2AA-8A85-4117-A337-1851D15230ED}">
  <dimension ref="A1:M29"/>
  <sheetViews>
    <sheetView workbookViewId="0">
      <selection activeCell="H29" sqref="H29:M29"/>
    </sheetView>
  </sheetViews>
  <sheetFormatPr defaultRowHeight="15" x14ac:dyDescent="0.25"/>
  <cols>
    <col min="1" max="1" width="12.140625" customWidth="1"/>
    <col min="4" max="4" width="6.5703125" customWidth="1"/>
  </cols>
  <sheetData>
    <row r="1" spans="1:13" ht="15.75" customHeight="1" x14ac:dyDescent="0.25">
      <c r="A1" s="67" t="s">
        <v>44</v>
      </c>
      <c r="B1" s="67"/>
    </row>
    <row r="2" spans="1:13" ht="16.5" customHeight="1" thickBot="1" x14ac:dyDescent="0.3">
      <c r="A2" s="68"/>
      <c r="B2" s="68"/>
    </row>
    <row r="3" spans="1:13" ht="19.5" thickBot="1" x14ac:dyDescent="0.3">
      <c r="A3" s="2" t="s">
        <v>0</v>
      </c>
      <c r="B3" s="37" t="s">
        <v>10</v>
      </c>
      <c r="C3" s="38"/>
      <c r="D3" s="38"/>
      <c r="E3" s="38"/>
      <c r="F3" s="38"/>
      <c r="G3" s="38"/>
      <c r="H3" s="38" t="s">
        <v>5</v>
      </c>
      <c r="I3" s="38"/>
      <c r="J3" s="38"/>
      <c r="K3" s="38"/>
      <c r="L3" s="38"/>
      <c r="M3" s="39"/>
    </row>
    <row r="4" spans="1:13" x14ac:dyDescent="0.25">
      <c r="A4" s="3"/>
      <c r="B4" s="47" t="s">
        <v>6</v>
      </c>
      <c r="C4" s="48"/>
      <c r="D4" s="48"/>
      <c r="E4" s="48" t="s">
        <v>7</v>
      </c>
      <c r="F4" s="48"/>
      <c r="G4" s="48"/>
      <c r="H4" s="48" t="s">
        <v>6</v>
      </c>
      <c r="I4" s="48"/>
      <c r="J4" s="48"/>
      <c r="K4" s="48" t="s">
        <v>7</v>
      </c>
      <c r="L4" s="48"/>
      <c r="M4" s="49"/>
    </row>
    <row r="5" spans="1:13" x14ac:dyDescent="0.25">
      <c r="A5" s="33" t="s">
        <v>1</v>
      </c>
      <c r="B5" s="74">
        <v>6335</v>
      </c>
      <c r="C5" s="75"/>
      <c r="D5" s="76"/>
      <c r="E5" s="77">
        <f>B5*1.27</f>
        <v>8045.45</v>
      </c>
      <c r="F5" s="75"/>
      <c r="G5" s="76"/>
      <c r="H5" s="77">
        <v>5580</v>
      </c>
      <c r="I5" s="75"/>
      <c r="J5" s="76"/>
      <c r="K5" s="77">
        <f>H5*1.27</f>
        <v>7086.6</v>
      </c>
      <c r="L5" s="75"/>
      <c r="M5" s="78"/>
    </row>
    <row r="6" spans="1:13" x14ac:dyDescent="0.25">
      <c r="A6" s="33" t="s">
        <v>2</v>
      </c>
      <c r="B6" s="74">
        <v>7190</v>
      </c>
      <c r="C6" s="75"/>
      <c r="D6" s="76"/>
      <c r="E6" s="77">
        <f t="shared" ref="E6:E8" si="0">B6*1.27</f>
        <v>9131.2999999999993</v>
      </c>
      <c r="F6" s="75"/>
      <c r="G6" s="76"/>
      <c r="H6" s="77">
        <v>6730</v>
      </c>
      <c r="I6" s="75"/>
      <c r="J6" s="76"/>
      <c r="K6" s="77">
        <f t="shared" ref="K6:K8" si="1">H6*1.27</f>
        <v>8547.1</v>
      </c>
      <c r="L6" s="75"/>
      <c r="M6" s="78"/>
    </row>
    <row r="7" spans="1:13" x14ac:dyDescent="0.25">
      <c r="A7" s="33" t="s">
        <v>3</v>
      </c>
      <c r="B7" s="74">
        <v>8360</v>
      </c>
      <c r="C7" s="75"/>
      <c r="D7" s="76"/>
      <c r="E7" s="77">
        <f t="shared" si="0"/>
        <v>10617.2</v>
      </c>
      <c r="F7" s="75"/>
      <c r="G7" s="76"/>
      <c r="H7" s="77">
        <v>7850</v>
      </c>
      <c r="I7" s="75"/>
      <c r="J7" s="76"/>
      <c r="K7" s="77">
        <f t="shared" si="1"/>
        <v>9969.5</v>
      </c>
      <c r="L7" s="75"/>
      <c r="M7" s="78"/>
    </row>
    <row r="8" spans="1:13" ht="15.75" thickBot="1" x14ac:dyDescent="0.3">
      <c r="A8" s="34" t="s">
        <v>4</v>
      </c>
      <c r="B8" s="73">
        <v>9410</v>
      </c>
      <c r="C8" s="70"/>
      <c r="D8" s="72"/>
      <c r="E8" s="69">
        <f t="shared" si="0"/>
        <v>11950.7</v>
      </c>
      <c r="F8" s="70"/>
      <c r="G8" s="72"/>
      <c r="H8" s="69">
        <v>9110</v>
      </c>
      <c r="I8" s="70"/>
      <c r="J8" s="72"/>
      <c r="K8" s="69">
        <f t="shared" si="1"/>
        <v>11569.7</v>
      </c>
      <c r="L8" s="70"/>
      <c r="M8" s="71"/>
    </row>
    <row r="9" spans="1:13" ht="18.75" x14ac:dyDescent="0.25">
      <c r="B9" s="43" t="s">
        <v>8</v>
      </c>
      <c r="C9" s="43"/>
      <c r="D9" s="43"/>
      <c r="E9" s="43"/>
      <c r="F9" s="43"/>
      <c r="G9" s="7"/>
      <c r="H9" s="43" t="s">
        <v>9</v>
      </c>
      <c r="I9" s="43"/>
      <c r="J9" s="43"/>
      <c r="K9" s="43"/>
      <c r="L9" s="43"/>
      <c r="M9" s="43"/>
    </row>
    <row r="12" spans="1:13" ht="21.75" thickBot="1" x14ac:dyDescent="0.4">
      <c r="A12" s="36" t="s">
        <v>11</v>
      </c>
      <c r="B12" s="36"/>
      <c r="C12" s="36"/>
      <c r="D12" s="36"/>
      <c r="E12" s="36"/>
      <c r="F12" s="36"/>
      <c r="G12" s="36"/>
      <c r="H12" s="4"/>
      <c r="I12" s="4"/>
      <c r="J12" s="4"/>
      <c r="K12" s="4"/>
      <c r="L12" s="4"/>
      <c r="M12" s="4"/>
    </row>
    <row r="13" spans="1:13" ht="19.5" thickBot="1" x14ac:dyDescent="0.3">
      <c r="A13" s="2" t="s">
        <v>0</v>
      </c>
      <c r="B13" s="50" t="s">
        <v>5</v>
      </c>
      <c r="C13" s="51"/>
      <c r="D13" s="51"/>
      <c r="E13" s="51"/>
      <c r="F13" s="51"/>
      <c r="G13" s="52"/>
      <c r="H13" s="31"/>
    </row>
    <row r="14" spans="1:13" ht="15.75" x14ac:dyDescent="0.25">
      <c r="A14" s="3"/>
      <c r="B14" s="79" t="s">
        <v>6</v>
      </c>
      <c r="C14" s="80"/>
      <c r="D14" s="81"/>
      <c r="E14" s="82" t="s">
        <v>7</v>
      </c>
      <c r="F14" s="80"/>
      <c r="G14" s="83"/>
      <c r="H14" s="35" t="s">
        <v>45</v>
      </c>
    </row>
    <row r="15" spans="1:13" ht="15.75" x14ac:dyDescent="0.25">
      <c r="A15" s="33" t="s">
        <v>1</v>
      </c>
      <c r="B15" s="74">
        <v>8500</v>
      </c>
      <c r="C15" s="75"/>
      <c r="D15" s="76"/>
      <c r="E15" s="77">
        <f>B15*1.27</f>
        <v>10795</v>
      </c>
      <c r="F15" s="75"/>
      <c r="G15" s="78"/>
      <c r="H15" s="35" t="s">
        <v>46</v>
      </c>
    </row>
    <row r="16" spans="1:13" x14ac:dyDescent="0.25">
      <c r="A16" s="33" t="s">
        <v>2</v>
      </c>
      <c r="B16" s="74" t="s">
        <v>12</v>
      </c>
      <c r="C16" s="75"/>
      <c r="D16" s="76"/>
      <c r="E16" s="77" t="s">
        <v>12</v>
      </c>
      <c r="F16" s="75"/>
      <c r="G16" s="78"/>
    </row>
    <row r="17" spans="1:13" x14ac:dyDescent="0.25">
      <c r="A17" s="33" t="s">
        <v>3</v>
      </c>
      <c r="B17" s="74" t="s">
        <v>12</v>
      </c>
      <c r="C17" s="75"/>
      <c r="D17" s="76"/>
      <c r="E17" s="77" t="s">
        <v>12</v>
      </c>
      <c r="F17" s="75"/>
      <c r="G17" s="78"/>
    </row>
    <row r="18" spans="1:13" ht="15.75" thickBot="1" x14ac:dyDescent="0.3">
      <c r="A18" s="34" t="s">
        <v>4</v>
      </c>
      <c r="B18" s="73">
        <v>11000</v>
      </c>
      <c r="C18" s="70"/>
      <c r="D18" s="72"/>
      <c r="E18" s="69">
        <f t="shared" ref="E18" si="2">B18*1.27</f>
        <v>13970</v>
      </c>
      <c r="F18" s="70"/>
      <c r="G18" s="71"/>
    </row>
    <row r="21" spans="1:13" ht="15.75" customHeight="1" x14ac:dyDescent="0.25">
      <c r="A21" s="65" t="s">
        <v>43</v>
      </c>
      <c r="B21" s="65"/>
    </row>
    <row r="22" spans="1:13" ht="17.25" customHeight="1" thickBot="1" x14ac:dyDescent="0.3">
      <c r="A22" s="66"/>
      <c r="B22" s="66"/>
    </row>
    <row r="23" spans="1:13" ht="19.5" thickBot="1" x14ac:dyDescent="0.3">
      <c r="A23" s="2" t="s">
        <v>0</v>
      </c>
      <c r="B23" s="37" t="s">
        <v>10</v>
      </c>
      <c r="C23" s="38"/>
      <c r="D23" s="38"/>
      <c r="E23" s="38"/>
      <c r="F23" s="38"/>
      <c r="G23" s="38"/>
      <c r="H23" s="38" t="s">
        <v>5</v>
      </c>
      <c r="I23" s="38"/>
      <c r="J23" s="38"/>
      <c r="K23" s="38"/>
      <c r="L23" s="38"/>
      <c r="M23" s="39"/>
    </row>
    <row r="24" spans="1:13" x14ac:dyDescent="0.25">
      <c r="A24" s="3"/>
      <c r="B24" s="28" t="s">
        <v>6</v>
      </c>
      <c r="C24" s="29"/>
      <c r="D24" s="30"/>
      <c r="E24" s="27" t="s">
        <v>7</v>
      </c>
      <c r="F24" s="29"/>
      <c r="G24" s="30"/>
      <c r="H24" s="27" t="s">
        <v>6</v>
      </c>
      <c r="I24" s="29"/>
      <c r="J24" s="30"/>
      <c r="K24" s="27" t="s">
        <v>7</v>
      </c>
      <c r="L24" s="29"/>
      <c r="M24" s="32"/>
    </row>
    <row r="25" spans="1:13" x14ac:dyDescent="0.25">
      <c r="A25" s="33" t="s">
        <v>1</v>
      </c>
      <c r="B25" s="74">
        <v>6525</v>
      </c>
      <c r="C25" s="75"/>
      <c r="D25" s="76"/>
      <c r="E25" s="77">
        <f>B25*1.27</f>
        <v>8286.75</v>
      </c>
      <c r="F25" s="75"/>
      <c r="G25" s="76"/>
      <c r="H25" s="77">
        <v>5970</v>
      </c>
      <c r="I25" s="75"/>
      <c r="J25" s="76"/>
      <c r="K25" s="77">
        <f>H25*1.27</f>
        <v>7581.9000000000005</v>
      </c>
      <c r="L25" s="75"/>
      <c r="M25" s="78"/>
    </row>
    <row r="26" spans="1:13" x14ac:dyDescent="0.25">
      <c r="A26" s="33" t="s">
        <v>2</v>
      </c>
      <c r="B26" s="74">
        <v>7410</v>
      </c>
      <c r="C26" s="75"/>
      <c r="D26" s="76"/>
      <c r="E26" s="77">
        <f t="shared" ref="E26:E28" si="3">B26*1.27</f>
        <v>9410.7000000000007</v>
      </c>
      <c r="F26" s="75"/>
      <c r="G26" s="76"/>
      <c r="H26" s="77">
        <v>6930</v>
      </c>
      <c r="I26" s="75"/>
      <c r="J26" s="76"/>
      <c r="K26" s="77">
        <f t="shared" ref="K26:K28" si="4">H26*1.27</f>
        <v>8801.1</v>
      </c>
      <c r="L26" s="75"/>
      <c r="M26" s="78"/>
    </row>
    <row r="27" spans="1:13" x14ac:dyDescent="0.25">
      <c r="A27" s="33" t="s">
        <v>3</v>
      </c>
      <c r="B27" s="74">
        <v>8610</v>
      </c>
      <c r="C27" s="75"/>
      <c r="D27" s="76"/>
      <c r="E27" s="77">
        <f t="shared" si="3"/>
        <v>10934.7</v>
      </c>
      <c r="F27" s="75"/>
      <c r="G27" s="76"/>
      <c r="H27" s="77">
        <v>8080</v>
      </c>
      <c r="I27" s="75"/>
      <c r="J27" s="76"/>
      <c r="K27" s="77">
        <f t="shared" si="4"/>
        <v>10261.6</v>
      </c>
      <c r="L27" s="75"/>
      <c r="M27" s="78"/>
    </row>
    <row r="28" spans="1:13" ht="15.75" thickBot="1" x14ac:dyDescent="0.3">
      <c r="A28" s="34" t="s">
        <v>4</v>
      </c>
      <c r="B28" s="73">
        <v>9695</v>
      </c>
      <c r="C28" s="70"/>
      <c r="D28" s="72"/>
      <c r="E28" s="69">
        <f t="shared" si="3"/>
        <v>12312.65</v>
      </c>
      <c r="F28" s="70"/>
      <c r="G28" s="72"/>
      <c r="H28" s="69">
        <v>9385</v>
      </c>
      <c r="I28" s="70"/>
      <c r="J28" s="72"/>
      <c r="K28" s="69">
        <f t="shared" si="4"/>
        <v>11918.95</v>
      </c>
      <c r="L28" s="70"/>
      <c r="M28" s="71"/>
    </row>
    <row r="29" spans="1:13" ht="18.75" x14ac:dyDescent="0.25">
      <c r="B29" s="43" t="s">
        <v>8</v>
      </c>
      <c r="C29" s="43"/>
      <c r="D29" s="43"/>
      <c r="E29" s="43"/>
      <c r="F29" s="43"/>
      <c r="G29" s="43"/>
      <c r="H29" s="43" t="s">
        <v>9</v>
      </c>
      <c r="I29" s="43"/>
      <c r="J29" s="43"/>
      <c r="K29" s="43"/>
      <c r="L29" s="43"/>
      <c r="M29" s="43"/>
    </row>
  </sheetData>
  <mergeCells count="58">
    <mergeCell ref="B3:G3"/>
    <mergeCell ref="H3:M3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K8:M8"/>
    <mergeCell ref="K7:M7"/>
    <mergeCell ref="B16:D16"/>
    <mergeCell ref="E16:G16"/>
    <mergeCell ref="B14:D14"/>
    <mergeCell ref="E14:G14"/>
    <mergeCell ref="B15:D15"/>
    <mergeCell ref="E15:G15"/>
    <mergeCell ref="H8:J8"/>
    <mergeCell ref="H7:J7"/>
    <mergeCell ref="H9:M9"/>
    <mergeCell ref="B9:F9"/>
    <mergeCell ref="E8:G8"/>
    <mergeCell ref="E7:G7"/>
    <mergeCell ref="B8:D8"/>
    <mergeCell ref="B7:D7"/>
    <mergeCell ref="A12:G12"/>
    <mergeCell ref="B13:G13"/>
    <mergeCell ref="E18:G18"/>
    <mergeCell ref="E17:G17"/>
    <mergeCell ref="B18:D18"/>
    <mergeCell ref="B17:D17"/>
    <mergeCell ref="B25:D25"/>
    <mergeCell ref="E25:G25"/>
    <mergeCell ref="H25:J25"/>
    <mergeCell ref="K25:M25"/>
    <mergeCell ref="B23:G23"/>
    <mergeCell ref="H23:M23"/>
    <mergeCell ref="B29:G29"/>
    <mergeCell ref="H29:M29"/>
    <mergeCell ref="A21:B22"/>
    <mergeCell ref="A1:B2"/>
    <mergeCell ref="K28:M28"/>
    <mergeCell ref="H28:J28"/>
    <mergeCell ref="E28:G28"/>
    <mergeCell ref="B28:D28"/>
    <mergeCell ref="B26:D26"/>
    <mergeCell ref="E26:G26"/>
    <mergeCell ref="H26:J26"/>
    <mergeCell ref="K26:M26"/>
    <mergeCell ref="B27:D27"/>
    <mergeCell ref="E27:G27"/>
    <mergeCell ref="H27:J27"/>
    <mergeCell ref="K27:M2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2025-02-07T12:45:16Z</cp:lastPrinted>
  <dcterms:created xsi:type="dcterms:W3CDTF">2023-02-02T13:01:21Z</dcterms:created>
  <dcterms:modified xsi:type="dcterms:W3CDTF">2025-02-07T15:01:19Z</dcterms:modified>
</cp:coreProperties>
</file>
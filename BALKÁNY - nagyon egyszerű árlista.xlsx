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használó\Desktop\"/>
    </mc:Choice>
  </mc:AlternateContent>
  <xr:revisionPtr revIDLastSave="0" documentId="13_ncr:1_{41CC25A7-CF1A-4CEF-A086-93DAF5BE0496}" xr6:coauthVersionLast="47" xr6:coauthVersionMax="47" xr10:uidLastSave="{00000000-0000-0000-0000-000000000000}"/>
  <bookViews>
    <workbookView xWindow="-120" yWindow="-120" windowWidth="29040" windowHeight="15840" activeTab="1" xr2:uid="{07D0EFF1-51E6-4716-8244-397028F55C1A}"/>
  </bookViews>
  <sheets>
    <sheet name="LENGYEL" sheetId="1" r:id="rId1"/>
    <sheet name="METÁL-SHEE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2" l="1"/>
  <c r="E11" i="2"/>
  <c r="E14" i="2"/>
  <c r="E6" i="2"/>
  <c r="E20" i="2"/>
  <c r="E7" i="2"/>
  <c r="E8" i="2"/>
  <c r="E9" i="2"/>
  <c r="E15" i="2"/>
  <c r="E16" i="2"/>
  <c r="E17" i="2"/>
  <c r="F17" i="1" l="1"/>
  <c r="F5" i="1"/>
</calcChain>
</file>

<file path=xl/sharedStrings.xml><?xml version="1.0" encoding="utf-8"?>
<sst xmlns="http://schemas.openxmlformats.org/spreadsheetml/2006/main" count="401" uniqueCount="71">
  <si>
    <t>LENGYEL ÁRLISTA - FÉNYES BEVONAT</t>
  </si>
  <si>
    <t>LENGYEL ÁRLISTA - STANDARD MATT BEVONAT</t>
  </si>
  <si>
    <t>teljes</t>
  </si>
  <si>
    <t>hasznos</t>
  </si>
  <si>
    <t>BONA PLUS</t>
  </si>
  <si>
    <t>1,18m</t>
  </si>
  <si>
    <t>1,10m</t>
  </si>
  <si>
    <t>PERLA PLUS</t>
  </si>
  <si>
    <t>AMALFI PLUS</t>
  </si>
  <si>
    <t>BESKID PLUS</t>
  </si>
  <si>
    <t>LIMA PLUS</t>
  </si>
  <si>
    <t>PDT-19</t>
  </si>
  <si>
    <t>PD25/540</t>
  </si>
  <si>
    <t>T-8</t>
  </si>
  <si>
    <t>T-14</t>
  </si>
  <si>
    <t>T-18</t>
  </si>
  <si>
    <t>T-35</t>
  </si>
  <si>
    <t>T-55</t>
  </si>
  <si>
    <t>vastagság</t>
  </si>
  <si>
    <t>0,45 mm</t>
  </si>
  <si>
    <t>0,5 mm</t>
  </si>
  <si>
    <t>0,4 mm</t>
  </si>
  <si>
    <t>1,15m</t>
  </si>
  <si>
    <t>1,06m</t>
  </si>
  <si>
    <t>1,20m</t>
  </si>
  <si>
    <t>1,14m</t>
  </si>
  <si>
    <t>1,20 m</t>
  </si>
  <si>
    <t>1,13m</t>
  </si>
  <si>
    <t>1,202m</t>
  </si>
  <si>
    <t>1,171m</t>
  </si>
  <si>
    <t>Nettó (cég - FAD)</t>
  </si>
  <si>
    <t>1,095m</t>
  </si>
  <si>
    <t>1,065m</t>
  </si>
  <si>
    <t>0,54m</t>
  </si>
  <si>
    <t>0,49m</t>
  </si>
  <si>
    <t>Bruttó (magánszemély)</t>
  </si>
  <si>
    <t>1,19m</t>
  </si>
  <si>
    <t>1,17m</t>
  </si>
  <si>
    <t>1,16m</t>
  </si>
  <si>
    <t>1,12m</t>
  </si>
  <si>
    <t>1,08m</t>
  </si>
  <si>
    <t>1,05m</t>
  </si>
  <si>
    <t>1,04m</t>
  </si>
  <si>
    <t>1,00m</t>
  </si>
  <si>
    <t>CSEREPESLEMEZEK</t>
  </si>
  <si>
    <t>KORCOLT LEMEZEK</t>
  </si>
  <si>
    <t>TRAPÉZLEMEZEK</t>
  </si>
  <si>
    <t>-</t>
  </si>
  <si>
    <t>FAMINTÁS 1 OLDALAS</t>
  </si>
  <si>
    <t>FAMINTÁS 2 OLDALAS</t>
  </si>
  <si>
    <t>LENGYEL ÁRLISTA - ULTRA MATT BEVONAT</t>
  </si>
  <si>
    <t>GÉPEN MEGNÉZNI MIBŐL MILYEN VASTAGSÁG VAN! 0,4 mm vastagságot mindig a promócióba kell nézni!</t>
  </si>
  <si>
    <t>T-38</t>
  </si>
  <si>
    <t>T-45</t>
  </si>
  <si>
    <t>T-50</t>
  </si>
  <si>
    <t>MS ÁRLISTA - FÉNYES ÉS MATT BEVONAT + FAMINTÁS</t>
  </si>
  <si>
    <t>FÉNYES BEVONAT</t>
  </si>
  <si>
    <t>MATT BEVONAT</t>
  </si>
  <si>
    <t>T-20 / 1120</t>
  </si>
  <si>
    <t>T20 / 1160</t>
  </si>
  <si>
    <t xml:space="preserve">1,04m </t>
  </si>
  <si>
    <t>Famintás 1 old.</t>
  </si>
  <si>
    <t>Famintás 2 old.</t>
  </si>
  <si>
    <t>Fényes/matt 2 old.</t>
  </si>
  <si>
    <t>3740/3600 Ft + ÁFA</t>
  </si>
  <si>
    <t>BEVILÁGÍTÓ:</t>
  </si>
  <si>
    <t>T20/1160</t>
  </si>
  <si>
    <t>T38</t>
  </si>
  <si>
    <t>T45</t>
  </si>
  <si>
    <t>T50</t>
  </si>
  <si>
    <t>40.000 Ft / db + ÁFA   (5 méteres)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</si>
</sst>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Ft&quot;"/>
    <numFmt numFmtId="165" formatCode="General\ &quot;Ft + ÁFA&quot;"/>
  </numFmts>
  <fonts count="13" x14ac:knownFonts="1">
    <font>
      <sz val="11"/>
      <color theme="1"/>
      <name val="Ubuntu"/>
      <family val="2"/>
      <charset val="238"/>
    </font>
    <font>
      <sz val="11"/>
      <color rgb="FF9C5700"/>
      <name val="Ubuntu"/>
      <family val="2"/>
      <charset val="238"/>
    </font>
    <font>
      <b/>
      <sz val="11"/>
      <color theme="1"/>
      <name val="Ubuntu"/>
      <family val="2"/>
      <charset val="238"/>
    </font>
    <font>
      <b/>
      <sz val="18"/>
      <name val="Ubuntu"/>
      <family val="2"/>
      <charset val="238"/>
    </font>
    <font>
      <sz val="10"/>
      <color theme="1"/>
      <name val="Ubuntu"/>
      <family val="2"/>
      <charset val="238"/>
    </font>
    <font>
      <b/>
      <sz val="12"/>
      <name val="Ubuntu"/>
      <family val="2"/>
      <charset val="238"/>
    </font>
    <font>
      <sz val="16"/>
      <color theme="1"/>
      <name val="Ubuntu"/>
      <family val="2"/>
      <charset val="238"/>
    </font>
    <font>
      <b/>
      <sz val="16"/>
      <color theme="1"/>
      <name val="Ubuntu"/>
      <family val="2"/>
      <charset val="238"/>
    </font>
    <font>
      <b/>
      <sz val="10"/>
      <color theme="1"/>
      <name val="Ubuntu"/>
      <family val="2"/>
      <charset val="238"/>
    </font>
    <font>
      <b/>
      <sz val="12"/>
      <color rgb="FFFF0000"/>
      <name val="Ubuntu"/>
      <family val="2"/>
      <charset val="238"/>
    </font>
    <font>
      <b/>
      <sz val="10"/>
      <name val="Ubuntu"/>
      <family val="2"/>
      <charset val="238"/>
    </font>
    <font>
      <b/>
      <sz val="16"/>
      <name val="Ubuntu"/>
      <family val="2"/>
      <charset val="238"/>
    </font>
    <font>
      <b/>
      <u/>
      <sz val="11"/>
      <color theme="1"/>
      <name val="Ubuntu"/>
      <family val="2"/>
      <charset val="238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9D9FF"/>
        <bgColor indexed="64"/>
      </patternFill>
    </fill>
    <fill>
      <patternFill patternType="solid">
        <fgColor rgb="FFC5C5FF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5">
    <xf numFmtId="0" fontId="0" fillId="0" borderId="0" xfId="0"/>
    <xf numFmtId="0" fontId="0" fillId="0" borderId="0" xfId="0" applyAlignment="1">
      <alignment horizontal="center"/>
    </xf>
    <xf numFmtId="0" fontId="3" fillId="0" borderId="0" xfId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left" vertical="center"/>
    </xf>
    <xf numFmtId="0" fontId="0" fillId="3" borderId="6" xfId="0" applyFill="1" applyBorder="1" applyAlignment="1">
      <alignment horizontal="center" vertical="center"/>
    </xf>
    <xf numFmtId="0" fontId="0" fillId="6" borderId="6" xfId="0" applyFill="1" applyBorder="1" applyAlignment="1">
      <alignment horizontal="left" vertical="center"/>
    </xf>
    <xf numFmtId="0" fontId="0" fillId="6" borderId="6" xfId="0" applyFill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5" borderId="6" xfId="0" applyFill="1" applyBorder="1" applyAlignment="1">
      <alignment horizontal="left" vertical="center"/>
    </xf>
    <xf numFmtId="0" fontId="0" fillId="5" borderId="6" xfId="0" applyFill="1" applyBorder="1" applyAlignment="1">
      <alignment horizontal="center" vertical="center"/>
    </xf>
    <xf numFmtId="0" fontId="0" fillId="7" borderId="6" xfId="0" applyFill="1" applyBorder="1" applyAlignment="1">
      <alignment horizontal="left" vertical="center"/>
    </xf>
    <xf numFmtId="0" fontId="0" fillId="7" borderId="6" xfId="0" applyFill="1" applyBorder="1" applyAlignment="1">
      <alignment horizontal="center" vertical="center"/>
    </xf>
    <xf numFmtId="0" fontId="0" fillId="8" borderId="6" xfId="0" applyFill="1" applyBorder="1" applyAlignment="1">
      <alignment horizontal="left" vertical="center"/>
    </xf>
    <xf numFmtId="0" fontId="0" fillId="8" borderId="6" xfId="0" applyFill="1" applyBorder="1" applyAlignment="1">
      <alignment horizontal="center" vertical="center"/>
    </xf>
    <xf numFmtId="0" fontId="0" fillId="9" borderId="6" xfId="0" applyFill="1" applyBorder="1" applyAlignment="1">
      <alignment horizontal="left" vertical="center"/>
    </xf>
    <xf numFmtId="0" fontId="0" fillId="9" borderId="6" xfId="0" applyFill="1" applyBorder="1" applyAlignment="1">
      <alignment horizontal="center" vertical="center"/>
    </xf>
    <xf numFmtId="0" fontId="0" fillId="10" borderId="6" xfId="0" applyFill="1" applyBorder="1" applyAlignment="1">
      <alignment horizontal="left" vertical="center"/>
    </xf>
    <xf numFmtId="0" fontId="0" fillId="10" borderId="6" xfId="0" applyFill="1" applyBorder="1" applyAlignment="1">
      <alignment horizontal="center" vertical="center"/>
    </xf>
    <xf numFmtId="0" fontId="0" fillId="11" borderId="6" xfId="0" applyFill="1" applyBorder="1" applyAlignment="1">
      <alignment horizontal="left" vertical="center"/>
    </xf>
    <xf numFmtId="0" fontId="0" fillId="11" borderId="6" xfId="0" applyFill="1" applyBorder="1" applyAlignment="1">
      <alignment horizontal="center" vertical="center"/>
    </xf>
    <xf numFmtId="0" fontId="0" fillId="4" borderId="11" xfId="0" applyFill="1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3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left" vertical="center"/>
    </xf>
    <xf numFmtId="0" fontId="0" fillId="6" borderId="11" xfId="0" applyFill="1" applyBorder="1" applyAlignment="1">
      <alignment horizontal="left" vertical="center"/>
    </xf>
    <xf numFmtId="0" fontId="0" fillId="6" borderId="5" xfId="0" applyFill="1" applyBorder="1" applyAlignment="1">
      <alignment horizontal="center" vertical="center"/>
    </xf>
    <xf numFmtId="0" fontId="0" fillId="6" borderId="5" xfId="0" applyFill="1" applyBorder="1" applyAlignment="1">
      <alignment horizontal="left" vertical="center"/>
    </xf>
    <xf numFmtId="0" fontId="0" fillId="5" borderId="11" xfId="0" applyFill="1" applyBorder="1" applyAlignment="1">
      <alignment horizontal="left" vertical="center"/>
    </xf>
    <xf numFmtId="0" fontId="0" fillId="9" borderId="11" xfId="0" applyFill="1" applyBorder="1" applyAlignment="1">
      <alignment horizontal="left" vertical="center"/>
    </xf>
    <xf numFmtId="0" fontId="0" fillId="5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left" vertical="center"/>
    </xf>
    <xf numFmtId="0" fontId="0" fillId="9" borderId="5" xfId="0" applyFill="1" applyBorder="1" applyAlignment="1">
      <alignment horizontal="center" vertical="center"/>
    </xf>
    <xf numFmtId="0" fontId="0" fillId="9" borderId="5" xfId="0" applyFill="1" applyBorder="1" applyAlignment="1">
      <alignment horizontal="left" vertical="center"/>
    </xf>
    <xf numFmtId="0" fontId="0" fillId="7" borderId="11" xfId="0" applyFill="1" applyBorder="1" applyAlignment="1">
      <alignment horizontal="left" vertical="center"/>
    </xf>
    <xf numFmtId="0" fontId="0" fillId="10" borderId="11" xfId="0" applyFill="1" applyBorder="1" applyAlignment="1">
      <alignment horizontal="left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left" vertical="center"/>
    </xf>
    <xf numFmtId="0" fontId="0" fillId="10" borderId="5" xfId="0" applyFill="1" applyBorder="1" applyAlignment="1">
      <alignment horizontal="center" vertical="center"/>
    </xf>
    <xf numFmtId="0" fontId="0" fillId="10" borderId="5" xfId="0" applyFill="1" applyBorder="1" applyAlignment="1">
      <alignment horizontal="left" vertical="center"/>
    </xf>
    <xf numFmtId="0" fontId="0" fillId="8" borderId="11" xfId="0" applyFill="1" applyBorder="1" applyAlignment="1">
      <alignment horizontal="left" vertical="center"/>
    </xf>
    <xf numFmtId="0" fontId="0" fillId="11" borderId="11" xfId="0" applyFill="1" applyBorder="1" applyAlignment="1">
      <alignment horizontal="left" vertical="center"/>
    </xf>
    <xf numFmtId="0" fontId="0" fillId="8" borderId="5" xfId="0" applyFill="1" applyBorder="1" applyAlignment="1">
      <alignment horizontal="center" vertical="center"/>
    </xf>
    <xf numFmtId="0" fontId="0" fillId="8" borderId="5" xfId="0" applyFill="1" applyBorder="1" applyAlignment="1">
      <alignment horizontal="left" vertical="center"/>
    </xf>
    <xf numFmtId="0" fontId="0" fillId="11" borderId="5" xfId="0" applyFill="1" applyBorder="1" applyAlignment="1">
      <alignment horizontal="center" vertical="center"/>
    </xf>
    <xf numFmtId="0" fontId="0" fillId="11" borderId="5" xfId="0" applyFill="1" applyBorder="1" applyAlignment="1">
      <alignment horizontal="left" vertical="center"/>
    </xf>
    <xf numFmtId="0" fontId="3" fillId="0" borderId="0" xfId="1" applyFont="1" applyFill="1" applyAlignment="1">
      <alignment vertical="center"/>
    </xf>
    <xf numFmtId="0" fontId="0" fillId="12" borderId="6" xfId="0" applyFill="1" applyBorder="1" applyAlignment="1">
      <alignment horizontal="left" vertical="center"/>
    </xf>
    <xf numFmtId="0" fontId="0" fillId="12" borderId="6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2" borderId="5" xfId="0" applyFill="1" applyBorder="1" applyAlignment="1">
      <alignment horizontal="left" vertical="center"/>
    </xf>
    <xf numFmtId="0" fontId="0" fillId="12" borderId="11" xfId="0" applyFill="1" applyBorder="1" applyAlignment="1">
      <alignment horizontal="left" vertical="center"/>
    </xf>
    <xf numFmtId="164" fontId="0" fillId="12" borderId="6" xfId="0" applyNumberFormat="1" applyFill="1" applyBorder="1" applyAlignment="1">
      <alignment horizontal="center" vertical="center"/>
    </xf>
    <xf numFmtId="164" fontId="0" fillId="12" borderId="10" xfId="0" applyNumberFormat="1" applyFill="1" applyBorder="1" applyAlignment="1">
      <alignment horizontal="center" vertical="center"/>
    </xf>
    <xf numFmtId="164" fontId="0" fillId="12" borderId="5" xfId="0" applyNumberFormat="1" applyFill="1" applyBorder="1" applyAlignment="1">
      <alignment horizontal="center" vertical="center"/>
    </xf>
    <xf numFmtId="164" fontId="0" fillId="12" borderId="11" xfId="0" applyNumberFormat="1" applyFill="1" applyBorder="1" applyAlignment="1">
      <alignment horizontal="center" vertical="center"/>
    </xf>
    <xf numFmtId="164" fontId="0" fillId="12" borderId="12" xfId="0" applyNumberFormat="1" applyFill="1" applyBorder="1" applyAlignment="1">
      <alignment horizontal="center" vertical="center"/>
    </xf>
    <xf numFmtId="164" fontId="0" fillId="12" borderId="15" xfId="0" applyNumberFormat="1" applyFill="1" applyBorder="1" applyAlignment="1">
      <alignment horizontal="center" vertical="center"/>
    </xf>
    <xf numFmtId="0" fontId="0" fillId="12" borderId="13" xfId="0" applyFill="1" applyBorder="1" applyAlignment="1">
      <alignment horizontal="center" vertical="center"/>
    </xf>
    <xf numFmtId="164" fontId="0" fillId="12" borderId="13" xfId="0" applyNumberFormat="1" applyFill="1" applyBorder="1" applyAlignment="1">
      <alignment horizontal="center" vertical="center"/>
    </xf>
    <xf numFmtId="0" fontId="6" fillId="0" borderId="0" xfId="0" applyFont="1" applyAlignment="1">
      <alignment horizontal="center" vertical="center" textRotation="180" wrapText="1"/>
    </xf>
    <xf numFmtId="164" fontId="0" fillId="12" borderId="16" xfId="0" applyNumberFormat="1" applyFill="1" applyBorder="1" applyAlignment="1">
      <alignment horizontal="center" vertical="center"/>
    </xf>
    <xf numFmtId="165" fontId="0" fillId="12" borderId="6" xfId="0" applyNumberFormat="1" applyFill="1" applyBorder="1" applyAlignment="1">
      <alignment horizontal="center" vertical="center"/>
    </xf>
    <xf numFmtId="165" fontId="0" fillId="12" borderId="10" xfId="0" applyNumberFormat="1" applyFill="1" applyBorder="1" applyAlignment="1">
      <alignment horizontal="center" vertical="center"/>
    </xf>
    <xf numFmtId="0" fontId="8" fillId="0" borderId="0" xfId="0" applyFont="1"/>
    <xf numFmtId="165" fontId="0" fillId="12" borderId="5" xfId="0" applyNumberFormat="1" applyFill="1" applyBorder="1" applyAlignment="1">
      <alignment horizontal="center" vertical="center"/>
    </xf>
    <xf numFmtId="165" fontId="0" fillId="12" borderId="13" xfId="0" applyNumberFormat="1" applyFill="1" applyBorder="1" applyAlignment="1">
      <alignment horizontal="center" vertical="center"/>
    </xf>
    <xf numFmtId="165" fontId="0" fillId="12" borderId="14" xfId="0" applyNumberFormat="1" applyFill="1" applyBorder="1" applyAlignment="1">
      <alignment horizontal="center" vertical="center"/>
    </xf>
    <xf numFmtId="165" fontId="0" fillId="12" borderId="18" xfId="0" applyNumberFormat="1" applyFill="1" applyBorder="1" applyAlignment="1">
      <alignment horizontal="center" vertical="center"/>
    </xf>
    <xf numFmtId="165" fontId="0" fillId="12" borderId="19" xfId="0" applyNumberFormat="1" applyFill="1" applyBorder="1" applyAlignment="1">
      <alignment horizontal="center" vertical="center"/>
    </xf>
    <xf numFmtId="165" fontId="0" fillId="12" borderId="17" xfId="0" applyNumberFormat="1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165" fontId="4" fillId="12" borderId="6" xfId="0" applyNumberFormat="1" applyFont="1" applyFill="1" applyBorder="1" applyAlignment="1">
      <alignment horizontal="center" vertical="center"/>
    </xf>
    <xf numFmtId="164" fontId="0" fillId="12" borderId="20" xfId="0" applyNumberFormat="1" applyFill="1" applyBorder="1" applyAlignment="1">
      <alignment horizontal="center" vertical="center"/>
    </xf>
    <xf numFmtId="164" fontId="0" fillId="12" borderId="21" xfId="0" applyNumberFormat="1" applyFill="1" applyBorder="1" applyAlignment="1">
      <alignment horizontal="center" vertical="center"/>
    </xf>
    <xf numFmtId="164" fontId="0" fillId="11" borderId="6" xfId="0" applyNumberFormat="1" applyFill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164" fontId="8" fillId="0" borderId="0" xfId="0" applyNumberFormat="1" applyFont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 textRotation="180" wrapText="1"/>
    </xf>
    <xf numFmtId="0" fontId="7" fillId="0" borderId="9" xfId="0" applyFont="1" applyBorder="1" applyAlignment="1">
      <alignment horizontal="center" vertical="center" textRotation="180" wrapText="1"/>
    </xf>
    <xf numFmtId="0" fontId="7" fillId="0" borderId="4" xfId="0" applyFont="1" applyBorder="1" applyAlignment="1">
      <alignment horizontal="center" vertical="center" textRotation="180" wrapText="1"/>
    </xf>
    <xf numFmtId="0" fontId="7" fillId="0" borderId="7" xfId="0" applyFont="1" applyBorder="1" applyAlignment="1">
      <alignment horizontal="center" vertical="center" textRotation="180" wrapText="1"/>
    </xf>
    <xf numFmtId="0" fontId="2" fillId="8" borderId="6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164" fontId="0" fillId="8" borderId="5" xfId="0" applyNumberFormat="1" applyFill="1" applyBorder="1" applyAlignment="1">
      <alignment horizontal="center" vertical="center"/>
    </xf>
    <xf numFmtId="164" fontId="0" fillId="8" borderId="11" xfId="0" applyNumberFormat="1" applyFill="1" applyBorder="1" applyAlignment="1">
      <alignment horizontal="center" vertical="center"/>
    </xf>
    <xf numFmtId="164" fontId="0" fillId="8" borderId="6" xfId="0" applyNumberForma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164" fontId="0" fillId="11" borderId="11" xfId="0" applyNumberFormat="1" applyFill="1" applyBorder="1" applyAlignment="1">
      <alignment horizontal="center" vertical="center"/>
    </xf>
    <xf numFmtId="164" fontId="0" fillId="11" borderId="5" xfId="0" applyNumberFormat="1" applyFill="1" applyBorder="1" applyAlignment="1">
      <alignment horizontal="center" vertical="center"/>
    </xf>
    <xf numFmtId="164" fontId="0" fillId="10" borderId="6" xfId="0" applyNumberForma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textRotation="180" wrapText="1"/>
    </xf>
    <xf numFmtId="0" fontId="2" fillId="0" borderId="9" xfId="0" applyFont="1" applyBorder="1" applyAlignment="1">
      <alignment horizontal="center" vertical="center" textRotation="180" wrapText="1"/>
    </xf>
    <xf numFmtId="0" fontId="2" fillId="0" borderId="7" xfId="0" applyFont="1" applyBorder="1" applyAlignment="1">
      <alignment horizontal="center" vertical="center" textRotation="180" wrapText="1"/>
    </xf>
    <xf numFmtId="164" fontId="0" fillId="10" borderId="5" xfId="0" applyNumberForma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164" fontId="0" fillId="10" borderId="11" xfId="0" applyNumberFormat="1" applyFill="1" applyBorder="1" applyAlignment="1">
      <alignment horizontal="center" vertical="center"/>
    </xf>
    <xf numFmtId="164" fontId="0" fillId="9" borderId="5" xfId="0" applyNumberForma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164" fontId="0" fillId="9" borderId="11" xfId="0" applyNumberFormat="1" applyFill="1" applyBorder="1" applyAlignment="1">
      <alignment horizontal="center" vertical="center"/>
    </xf>
    <xf numFmtId="164" fontId="0" fillId="9" borderId="6" xfId="0" applyNumberFormat="1" applyFill="1" applyBorder="1" applyAlignment="1">
      <alignment horizontal="center" vertical="center"/>
    </xf>
    <xf numFmtId="0" fontId="3" fillId="10" borderId="0" xfId="1" applyFont="1" applyFill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textRotation="180" wrapText="1"/>
    </xf>
    <xf numFmtId="0" fontId="2" fillId="7" borderId="6" xfId="0" applyFont="1" applyFill="1" applyBorder="1" applyAlignment="1">
      <alignment horizontal="center" vertical="center"/>
    </xf>
    <xf numFmtId="164" fontId="0" fillId="7" borderId="6" xfId="0" applyNumberForma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textRotation="180" wrapText="1"/>
    </xf>
    <xf numFmtId="164" fontId="0" fillId="7" borderId="5" xfId="0" applyNumberForma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164" fontId="0" fillId="7" borderId="11" xfId="0" applyNumberFormat="1" applyFill="1" applyBorder="1" applyAlignment="1">
      <alignment horizontal="center" vertical="center"/>
    </xf>
    <xf numFmtId="164" fontId="0" fillId="5" borderId="6" xfId="0" applyNumberFormat="1" applyFill="1" applyBorder="1" applyAlignment="1">
      <alignment horizontal="center" vertical="center"/>
    </xf>
    <xf numFmtId="164" fontId="0" fillId="5" borderId="5" xfId="0" applyNumberForma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164" fontId="0" fillId="5" borderId="11" xfId="0" applyNumberForma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4" fontId="0" fillId="6" borderId="6" xfId="0" applyNumberFormat="1" applyFill="1" applyBorder="1" applyAlignment="1">
      <alignment horizontal="center" vertical="center"/>
    </xf>
    <xf numFmtId="0" fontId="3" fillId="7" borderId="0" xfId="1" applyFont="1" applyFill="1" applyAlignment="1">
      <alignment horizontal="center" vertical="center"/>
    </xf>
    <xf numFmtId="164" fontId="0" fillId="6" borderId="11" xfId="0" applyNumberFormat="1" applyFill="1" applyBorder="1" applyAlignment="1">
      <alignment horizontal="center" vertical="center"/>
    </xf>
    <xf numFmtId="164" fontId="0" fillId="6" borderId="12" xfId="0" applyNumberFormat="1" applyFill="1" applyBorder="1" applyAlignment="1">
      <alignment horizontal="center" vertical="center"/>
    </xf>
    <xf numFmtId="164" fontId="0" fillId="6" borderId="5" xfId="0" applyNumberFormat="1" applyFill="1" applyBorder="1" applyAlignment="1">
      <alignment horizontal="center" vertical="center"/>
    </xf>
    <xf numFmtId="164" fontId="0" fillId="6" borderId="10" xfId="0" applyNumberFormat="1" applyFill="1" applyBorder="1" applyAlignment="1">
      <alignment horizontal="center" vertical="center"/>
    </xf>
    <xf numFmtId="164" fontId="0" fillId="3" borderId="6" xfId="0" applyNumberFormat="1" applyFill="1" applyBorder="1" applyAlignment="1">
      <alignment horizontal="center" vertical="center"/>
    </xf>
    <xf numFmtId="164" fontId="0" fillId="3" borderId="11" xfId="0" applyNumberFormat="1" applyFill="1" applyBorder="1" applyAlignment="1">
      <alignment horizontal="center" vertical="center"/>
    </xf>
    <xf numFmtId="164" fontId="0" fillId="3" borderId="5" xfId="0" applyNumberFormat="1" applyFill="1" applyBorder="1" applyAlignment="1">
      <alignment horizontal="center" vertical="center"/>
    </xf>
    <xf numFmtId="164" fontId="0" fillId="4" borderId="5" xfId="0" applyNumberFormat="1" applyFill="1" applyBorder="1" applyAlignment="1">
      <alignment horizontal="center" vertical="center"/>
    </xf>
    <xf numFmtId="164" fontId="0" fillId="4" borderId="11" xfId="0" applyNumberFormat="1" applyFill="1" applyBorder="1" applyAlignment="1">
      <alignment horizontal="center" vertical="center"/>
    </xf>
    <xf numFmtId="164" fontId="0" fillId="4" borderId="6" xfId="0" applyNumberForma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12" borderId="11" xfId="0" applyFont="1" applyFill="1" applyBorder="1" applyAlignment="1">
      <alignment horizontal="center" vertical="center"/>
    </xf>
    <xf numFmtId="0" fontId="10" fillId="0" borderId="13" xfId="1" applyFont="1" applyFill="1" applyBorder="1" applyAlignment="1">
      <alignment horizontal="center" vertical="center" wrapText="1"/>
    </xf>
    <xf numFmtId="0" fontId="10" fillId="0" borderId="11" xfId="1" applyFont="1" applyFill="1" applyBorder="1" applyAlignment="1">
      <alignment horizontal="center" vertical="center" wrapText="1"/>
    </xf>
    <xf numFmtId="0" fontId="2" fillId="12" borderId="6" xfId="0" applyFont="1" applyFill="1" applyBorder="1" applyAlignment="1">
      <alignment horizontal="center" vertical="center"/>
    </xf>
    <xf numFmtId="0" fontId="11" fillId="13" borderId="0" xfId="1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 textRotation="180" wrapText="1"/>
    </xf>
    <xf numFmtId="0" fontId="7" fillId="0" borderId="2" xfId="0" applyFont="1" applyBorder="1" applyAlignment="1">
      <alignment horizontal="center" vertical="center" textRotation="180" wrapText="1"/>
    </xf>
    <xf numFmtId="0" fontId="7" fillId="0" borderId="3" xfId="0" applyFont="1" applyBorder="1" applyAlignment="1">
      <alignment horizontal="center" vertical="center" textRotation="180" wrapText="1"/>
    </xf>
    <xf numFmtId="0" fontId="2" fillId="0" borderId="0" xfId="0" applyFont="1" applyAlignment="1">
      <alignment horizontal="center" vertical="center"/>
    </xf>
    <xf numFmtId="0" fontId="12" fillId="0" borderId="0" xfId="0" applyFont="1"/>
  </cellXfs>
  <cellStyles count="2">
    <cellStyle name="Normál" xfId="0" builtinId="0"/>
    <cellStyle name="Semleges" xfId="1" builtinId="28"/>
  </cellStyles>
  <dxfs count="0"/>
  <tableStyles count="0" defaultTableStyle="TableStyleMedium2" defaultPivotStyle="PivotStyleLight16"/>
  <colors>
    <mruColors>
      <color rgb="FFC5C5FF"/>
      <color rgb="FFD9D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0</xdr:row>
      <xdr:rowOff>38100</xdr:rowOff>
    </xdr:from>
    <xdr:to>
      <xdr:col>14</xdr:col>
      <xdr:colOff>647700</xdr:colOff>
      <xdr:row>19</xdr:row>
      <xdr:rowOff>196987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B2F019CF-224F-D080-35E0-5D8AE79C7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3125" y="38100"/>
          <a:ext cx="6553200" cy="4321312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209550</xdr:colOff>
      <xdr:row>20</xdr:row>
      <xdr:rowOff>19050</xdr:rowOff>
    </xdr:from>
    <xdr:to>
      <xdr:col>11</xdr:col>
      <xdr:colOff>59674</xdr:colOff>
      <xdr:row>48</xdr:row>
      <xdr:rowOff>104775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DF2A3B9D-9418-E789-BCE8-B49DD8C19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43625" y="4391025"/>
          <a:ext cx="3717274" cy="5876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FE63A-C698-40DF-9A42-0580463E734A}">
  <dimension ref="A1:AA42"/>
  <sheetViews>
    <sheetView topLeftCell="A10" zoomScaleNormal="100" workbookViewId="0">
      <selection activeCell="A21" sqref="A21:H33"/>
    </sheetView>
  </sheetViews>
  <sheetFormatPr defaultRowHeight="15.75" x14ac:dyDescent="0.25"/>
  <cols>
    <col min="3" max="3" width="10" customWidth="1"/>
    <col min="8" max="8" width="9" customWidth="1"/>
    <col min="9" max="9" width="8.625" customWidth="1"/>
  </cols>
  <sheetData>
    <row r="1" spans="1:27" x14ac:dyDescent="0.25">
      <c r="A1" s="140" t="s">
        <v>1</v>
      </c>
      <c r="B1" s="140"/>
      <c r="C1" s="140"/>
      <c r="D1" s="140"/>
      <c r="E1" s="140"/>
      <c r="F1" s="140"/>
      <c r="G1" s="140"/>
      <c r="H1" s="140"/>
      <c r="I1" s="140"/>
      <c r="J1" s="127" t="s">
        <v>0</v>
      </c>
      <c r="K1" s="127"/>
      <c r="L1" s="127"/>
      <c r="M1" s="127"/>
      <c r="N1" s="127"/>
      <c r="O1" s="127"/>
      <c r="P1" s="127"/>
      <c r="Q1" s="127"/>
      <c r="R1" s="127"/>
      <c r="S1" s="111" t="s">
        <v>50</v>
      </c>
      <c r="T1" s="111"/>
      <c r="U1" s="111"/>
      <c r="V1" s="111"/>
      <c r="W1" s="111"/>
      <c r="X1" s="111"/>
      <c r="Y1" s="111"/>
      <c r="Z1" s="111"/>
      <c r="AA1" s="111"/>
    </row>
    <row r="2" spans="1:27" x14ac:dyDescent="0.25">
      <c r="A2" s="140"/>
      <c r="B2" s="140"/>
      <c r="C2" s="140"/>
      <c r="D2" s="140"/>
      <c r="E2" s="140"/>
      <c r="F2" s="140"/>
      <c r="G2" s="140"/>
      <c r="H2" s="140"/>
      <c r="I2" s="140"/>
      <c r="J2" s="127"/>
      <c r="K2" s="127"/>
      <c r="L2" s="127"/>
      <c r="M2" s="127"/>
      <c r="N2" s="127"/>
      <c r="O2" s="127"/>
      <c r="P2" s="127"/>
      <c r="Q2" s="127"/>
      <c r="R2" s="127"/>
      <c r="S2" s="111"/>
      <c r="T2" s="111"/>
      <c r="U2" s="111"/>
      <c r="V2" s="111"/>
      <c r="W2" s="111"/>
      <c r="X2" s="111"/>
      <c r="Y2" s="111"/>
      <c r="Z2" s="111"/>
      <c r="AA2" s="111"/>
    </row>
    <row r="3" spans="1:27" ht="18.75" customHeight="1" x14ac:dyDescent="0.25">
      <c r="A3" s="2"/>
      <c r="B3" s="2"/>
      <c r="C3" s="2"/>
      <c r="D3" s="112" t="s">
        <v>30</v>
      </c>
      <c r="E3" s="112"/>
      <c r="F3" s="112" t="s">
        <v>35</v>
      </c>
      <c r="G3" s="112"/>
      <c r="H3" s="112"/>
      <c r="I3" s="2"/>
      <c r="J3" s="2"/>
      <c r="K3" s="2"/>
      <c r="L3" s="2"/>
      <c r="M3" s="112" t="s">
        <v>30</v>
      </c>
      <c r="N3" s="112"/>
      <c r="O3" s="112" t="s">
        <v>35</v>
      </c>
      <c r="P3" s="112"/>
      <c r="Q3" s="112"/>
      <c r="R3" s="2"/>
      <c r="S3" s="2"/>
      <c r="T3" s="2"/>
      <c r="U3" s="2"/>
      <c r="V3" s="112" t="s">
        <v>30</v>
      </c>
      <c r="W3" s="112"/>
      <c r="X3" s="112" t="s">
        <v>35</v>
      </c>
      <c r="Y3" s="112"/>
      <c r="Z3" s="112"/>
      <c r="AA3" s="2"/>
    </row>
    <row r="4" spans="1:27" ht="20.25" customHeight="1" x14ac:dyDescent="0.25">
      <c r="A4" s="14" t="s">
        <v>2</v>
      </c>
      <c r="B4" s="14" t="s">
        <v>3</v>
      </c>
      <c r="C4" s="15" t="s">
        <v>18</v>
      </c>
      <c r="D4" s="112"/>
      <c r="E4" s="112"/>
      <c r="F4" s="112"/>
      <c r="G4" s="112"/>
      <c r="H4" s="112"/>
      <c r="I4" s="3"/>
      <c r="J4" s="14" t="s">
        <v>2</v>
      </c>
      <c r="K4" s="14" t="s">
        <v>3</v>
      </c>
      <c r="L4" s="15" t="s">
        <v>18</v>
      </c>
      <c r="M4" s="112"/>
      <c r="N4" s="112"/>
      <c r="O4" s="112"/>
      <c r="P4" s="112"/>
      <c r="Q4" s="112"/>
      <c r="R4" s="3"/>
      <c r="S4" s="14" t="s">
        <v>2</v>
      </c>
      <c r="T4" s="14" t="s">
        <v>3</v>
      </c>
      <c r="U4" s="15" t="s">
        <v>18</v>
      </c>
      <c r="V4" s="112"/>
      <c r="W4" s="112"/>
      <c r="X4" s="112"/>
      <c r="Y4" s="112"/>
      <c r="Z4" s="112"/>
      <c r="AA4" s="3"/>
    </row>
    <row r="5" spans="1:27" ht="20.100000000000001" customHeight="1" x14ac:dyDescent="0.25">
      <c r="A5" s="141" t="s">
        <v>4</v>
      </c>
      <c r="B5" s="141"/>
      <c r="C5" s="7" t="s">
        <v>19</v>
      </c>
      <c r="D5" s="137">
        <v>2950</v>
      </c>
      <c r="E5" s="137"/>
      <c r="F5" s="137">
        <f>D5*1.27</f>
        <v>3746.5</v>
      </c>
      <c r="G5" s="137"/>
      <c r="H5" s="137"/>
      <c r="I5" s="114" t="s">
        <v>44</v>
      </c>
      <c r="J5" s="125" t="s">
        <v>4</v>
      </c>
      <c r="K5" s="125"/>
      <c r="L5" s="16" t="s">
        <v>19</v>
      </c>
      <c r="M5" s="121">
        <v>3050</v>
      </c>
      <c r="N5" s="121"/>
      <c r="O5" s="121">
        <v>3874</v>
      </c>
      <c r="P5" s="121"/>
      <c r="Q5" s="121"/>
      <c r="R5" s="114" t="s">
        <v>44</v>
      </c>
      <c r="S5" s="113" t="s">
        <v>4</v>
      </c>
      <c r="T5" s="113"/>
      <c r="U5" s="22" t="s">
        <v>19</v>
      </c>
      <c r="V5" s="110">
        <v>3195</v>
      </c>
      <c r="W5" s="110"/>
      <c r="X5" s="110">
        <v>4058</v>
      </c>
      <c r="Y5" s="110"/>
      <c r="Z5" s="110"/>
      <c r="AA5" s="87" t="s">
        <v>44</v>
      </c>
    </row>
    <row r="6" spans="1:27" ht="20.100000000000001" customHeight="1" thickBot="1" x14ac:dyDescent="0.3">
      <c r="A6" s="6" t="s">
        <v>5</v>
      </c>
      <c r="B6" s="6" t="s">
        <v>6</v>
      </c>
      <c r="C6" s="29" t="s">
        <v>20</v>
      </c>
      <c r="D6" s="135">
        <v>3100</v>
      </c>
      <c r="E6" s="135"/>
      <c r="F6" s="135">
        <v>3937</v>
      </c>
      <c r="G6" s="135"/>
      <c r="H6" s="135"/>
      <c r="I6" s="114"/>
      <c r="J6" s="38" t="s">
        <v>5</v>
      </c>
      <c r="K6" s="38" t="s">
        <v>6</v>
      </c>
      <c r="L6" s="39" t="s">
        <v>20</v>
      </c>
      <c r="M6" s="122">
        <v>3200</v>
      </c>
      <c r="N6" s="122"/>
      <c r="O6" s="122">
        <v>4064</v>
      </c>
      <c r="P6" s="122"/>
      <c r="Q6" s="122"/>
      <c r="R6" s="114"/>
      <c r="S6" s="40" t="s">
        <v>5</v>
      </c>
      <c r="T6" s="40" t="s">
        <v>6</v>
      </c>
      <c r="U6" s="41" t="s">
        <v>20</v>
      </c>
      <c r="V6" s="107">
        <v>3350</v>
      </c>
      <c r="W6" s="107"/>
      <c r="X6" s="107">
        <v>4255</v>
      </c>
      <c r="Y6" s="107"/>
      <c r="Z6" s="107"/>
      <c r="AA6" s="88"/>
    </row>
    <row r="7" spans="1:27" ht="20.100000000000001" customHeight="1" x14ac:dyDescent="0.25">
      <c r="A7" s="144" t="s">
        <v>7</v>
      </c>
      <c r="B7" s="144"/>
      <c r="C7" s="28" t="s">
        <v>19</v>
      </c>
      <c r="D7" s="136">
        <v>3000</v>
      </c>
      <c r="E7" s="136"/>
      <c r="F7" s="136">
        <v>3810</v>
      </c>
      <c r="G7" s="136"/>
      <c r="H7" s="136"/>
      <c r="I7" s="114"/>
      <c r="J7" s="123" t="s">
        <v>7</v>
      </c>
      <c r="K7" s="123"/>
      <c r="L7" s="36" t="s">
        <v>19</v>
      </c>
      <c r="M7" s="124">
        <v>3150</v>
      </c>
      <c r="N7" s="124"/>
      <c r="O7" s="124">
        <v>4001</v>
      </c>
      <c r="P7" s="124"/>
      <c r="Q7" s="124"/>
      <c r="R7" s="114"/>
      <c r="S7" s="108" t="s">
        <v>7</v>
      </c>
      <c r="T7" s="108"/>
      <c r="U7" s="37" t="s">
        <v>19</v>
      </c>
      <c r="V7" s="109">
        <v>3260</v>
      </c>
      <c r="W7" s="109"/>
      <c r="X7" s="109">
        <v>4140</v>
      </c>
      <c r="Y7" s="109"/>
      <c r="Z7" s="109"/>
      <c r="AA7" s="88"/>
    </row>
    <row r="8" spans="1:27" ht="20.100000000000001" customHeight="1" thickBot="1" x14ac:dyDescent="0.3">
      <c r="A8" s="6" t="s">
        <v>22</v>
      </c>
      <c r="B8" s="6" t="s">
        <v>23</v>
      </c>
      <c r="C8" s="29" t="s">
        <v>20</v>
      </c>
      <c r="D8" s="135">
        <v>3150</v>
      </c>
      <c r="E8" s="135"/>
      <c r="F8" s="135">
        <v>4001</v>
      </c>
      <c r="G8" s="135"/>
      <c r="H8" s="135"/>
      <c r="I8" s="114"/>
      <c r="J8" s="17" t="s">
        <v>22</v>
      </c>
      <c r="K8" s="38" t="s">
        <v>23</v>
      </c>
      <c r="L8" s="39" t="s">
        <v>20</v>
      </c>
      <c r="M8" s="122">
        <v>3250</v>
      </c>
      <c r="N8" s="122"/>
      <c r="O8" s="122">
        <v>4128</v>
      </c>
      <c r="P8" s="122"/>
      <c r="Q8" s="122"/>
      <c r="R8" s="114"/>
      <c r="S8" s="40" t="s">
        <v>22</v>
      </c>
      <c r="T8" s="40" t="s">
        <v>23</v>
      </c>
      <c r="U8" s="41" t="s">
        <v>20</v>
      </c>
      <c r="V8" s="107">
        <v>3420</v>
      </c>
      <c r="W8" s="107"/>
      <c r="X8" s="107">
        <v>4343</v>
      </c>
      <c r="Y8" s="107"/>
      <c r="Z8" s="107"/>
      <c r="AA8" s="88"/>
    </row>
    <row r="9" spans="1:27" ht="20.100000000000001" customHeight="1" x14ac:dyDescent="0.25">
      <c r="A9" s="144" t="s">
        <v>8</v>
      </c>
      <c r="B9" s="144"/>
      <c r="C9" s="28" t="s">
        <v>19</v>
      </c>
      <c r="D9" s="136">
        <v>3150</v>
      </c>
      <c r="E9" s="136"/>
      <c r="F9" s="136">
        <v>4001</v>
      </c>
      <c r="G9" s="136"/>
      <c r="H9" s="136"/>
      <c r="I9" s="114"/>
      <c r="J9" s="125" t="s">
        <v>8</v>
      </c>
      <c r="K9" s="123"/>
      <c r="L9" s="36" t="s">
        <v>19</v>
      </c>
      <c r="M9" s="124">
        <v>3290</v>
      </c>
      <c r="N9" s="124"/>
      <c r="O9" s="124">
        <v>4128</v>
      </c>
      <c r="P9" s="124"/>
      <c r="Q9" s="124"/>
      <c r="R9" s="114"/>
      <c r="S9" s="108" t="s">
        <v>8</v>
      </c>
      <c r="T9" s="108"/>
      <c r="U9" s="37" t="s">
        <v>19</v>
      </c>
      <c r="V9" s="109">
        <v>3400</v>
      </c>
      <c r="W9" s="109"/>
      <c r="X9" s="109">
        <v>4318</v>
      </c>
      <c r="Y9" s="109"/>
      <c r="Z9" s="109"/>
      <c r="AA9" s="88"/>
    </row>
    <row r="10" spans="1:27" ht="20.100000000000001" customHeight="1" thickBot="1" x14ac:dyDescent="0.3">
      <c r="A10" s="6" t="s">
        <v>24</v>
      </c>
      <c r="B10" s="6" t="s">
        <v>25</v>
      </c>
      <c r="C10" s="29" t="s">
        <v>20</v>
      </c>
      <c r="D10" s="135">
        <v>3290</v>
      </c>
      <c r="E10" s="135"/>
      <c r="F10" s="135">
        <v>4178</v>
      </c>
      <c r="G10" s="135"/>
      <c r="H10" s="135"/>
      <c r="I10" s="114"/>
      <c r="J10" s="38" t="s">
        <v>24</v>
      </c>
      <c r="K10" s="38" t="s">
        <v>25</v>
      </c>
      <c r="L10" s="39" t="s">
        <v>20</v>
      </c>
      <c r="M10" s="122">
        <v>3450</v>
      </c>
      <c r="N10" s="122"/>
      <c r="O10" s="122">
        <v>4382</v>
      </c>
      <c r="P10" s="122"/>
      <c r="Q10" s="122"/>
      <c r="R10" s="114"/>
      <c r="S10" s="40" t="s">
        <v>24</v>
      </c>
      <c r="T10" s="40" t="s">
        <v>25</v>
      </c>
      <c r="U10" s="41" t="s">
        <v>20</v>
      </c>
      <c r="V10" s="107">
        <v>3590</v>
      </c>
      <c r="W10" s="107"/>
      <c r="X10" s="107">
        <v>4559</v>
      </c>
      <c r="Y10" s="107"/>
      <c r="Z10" s="107"/>
      <c r="AA10" s="88"/>
    </row>
    <row r="11" spans="1:27" ht="20.100000000000001" customHeight="1" x14ac:dyDescent="0.25">
      <c r="A11" s="144" t="s">
        <v>9</v>
      </c>
      <c r="B11" s="144"/>
      <c r="C11" s="28" t="s">
        <v>19</v>
      </c>
      <c r="D11" s="136">
        <v>3000</v>
      </c>
      <c r="E11" s="136"/>
      <c r="F11" s="136">
        <v>3810</v>
      </c>
      <c r="G11" s="136"/>
      <c r="H11" s="136"/>
      <c r="I11" s="114"/>
      <c r="J11" s="123" t="s">
        <v>9</v>
      </c>
      <c r="K11" s="123"/>
      <c r="L11" s="36" t="s">
        <v>19</v>
      </c>
      <c r="M11" s="124">
        <v>3100</v>
      </c>
      <c r="N11" s="124"/>
      <c r="O11" s="124">
        <v>3937</v>
      </c>
      <c r="P11" s="124"/>
      <c r="Q11" s="124"/>
      <c r="R11" s="114"/>
      <c r="S11" s="108" t="s">
        <v>9</v>
      </c>
      <c r="T11" s="108"/>
      <c r="U11" s="37" t="s">
        <v>19</v>
      </c>
      <c r="V11" s="109">
        <v>3200</v>
      </c>
      <c r="W11" s="109"/>
      <c r="X11" s="109">
        <v>4064</v>
      </c>
      <c r="Y11" s="109"/>
      <c r="Z11" s="109"/>
      <c r="AA11" s="88"/>
    </row>
    <row r="12" spans="1:27" ht="20.100000000000001" customHeight="1" thickBot="1" x14ac:dyDescent="0.3">
      <c r="A12" s="6" t="s">
        <v>26</v>
      </c>
      <c r="B12" s="6" t="s">
        <v>27</v>
      </c>
      <c r="C12" s="29" t="s">
        <v>20</v>
      </c>
      <c r="D12" s="135">
        <v>3150</v>
      </c>
      <c r="E12" s="135"/>
      <c r="F12" s="135">
        <v>4001</v>
      </c>
      <c r="G12" s="135"/>
      <c r="H12" s="135"/>
      <c r="I12" s="114"/>
      <c r="J12" s="38" t="s">
        <v>26</v>
      </c>
      <c r="K12" s="38" t="s">
        <v>27</v>
      </c>
      <c r="L12" s="39" t="s">
        <v>20</v>
      </c>
      <c r="M12" s="122">
        <v>3250</v>
      </c>
      <c r="N12" s="122"/>
      <c r="O12" s="122">
        <v>4128</v>
      </c>
      <c r="P12" s="122"/>
      <c r="Q12" s="122"/>
      <c r="R12" s="114"/>
      <c r="S12" s="40" t="s">
        <v>26</v>
      </c>
      <c r="T12" s="40" t="s">
        <v>27</v>
      </c>
      <c r="U12" s="41" t="s">
        <v>20</v>
      </c>
      <c r="V12" s="107">
        <v>3400</v>
      </c>
      <c r="W12" s="107"/>
      <c r="X12" s="107">
        <v>4318</v>
      </c>
      <c r="Y12" s="107"/>
      <c r="Z12" s="107"/>
      <c r="AA12" s="88"/>
    </row>
    <row r="13" spans="1:27" ht="20.100000000000001" customHeight="1" x14ac:dyDescent="0.25">
      <c r="A13" s="144" t="s">
        <v>10</v>
      </c>
      <c r="B13" s="144"/>
      <c r="C13" s="28" t="s">
        <v>19</v>
      </c>
      <c r="D13" s="136">
        <v>3050</v>
      </c>
      <c r="E13" s="136"/>
      <c r="F13" s="136">
        <v>3874</v>
      </c>
      <c r="G13" s="136"/>
      <c r="H13" s="136"/>
      <c r="I13" s="114"/>
      <c r="J13" s="123" t="s">
        <v>10</v>
      </c>
      <c r="K13" s="123"/>
      <c r="L13" s="36" t="s">
        <v>19</v>
      </c>
      <c r="M13" s="124">
        <v>3170</v>
      </c>
      <c r="N13" s="124"/>
      <c r="O13" s="124">
        <v>4026</v>
      </c>
      <c r="P13" s="124"/>
      <c r="Q13" s="124"/>
      <c r="R13" s="114"/>
      <c r="S13" s="108" t="s">
        <v>10</v>
      </c>
      <c r="T13" s="108"/>
      <c r="U13" s="37" t="s">
        <v>19</v>
      </c>
      <c r="V13" s="109">
        <v>3300</v>
      </c>
      <c r="W13" s="109"/>
      <c r="X13" s="109">
        <v>4191</v>
      </c>
      <c r="Y13" s="109"/>
      <c r="Z13" s="109"/>
      <c r="AA13" s="88"/>
    </row>
    <row r="14" spans="1:27" ht="20.100000000000001" customHeight="1" x14ac:dyDescent="0.25">
      <c r="A14" s="8" t="s">
        <v>28</v>
      </c>
      <c r="B14" s="8" t="s">
        <v>29</v>
      </c>
      <c r="C14" s="7" t="s">
        <v>20</v>
      </c>
      <c r="D14" s="137">
        <v>3200</v>
      </c>
      <c r="E14" s="137"/>
      <c r="F14" s="137">
        <v>4064</v>
      </c>
      <c r="G14" s="137"/>
      <c r="H14" s="137"/>
      <c r="I14" s="114"/>
      <c r="J14" s="17" t="s">
        <v>28</v>
      </c>
      <c r="K14" s="17" t="s">
        <v>29</v>
      </c>
      <c r="L14" s="16" t="s">
        <v>20</v>
      </c>
      <c r="M14" s="121">
        <v>3320</v>
      </c>
      <c r="N14" s="121"/>
      <c r="O14" s="121">
        <v>4216</v>
      </c>
      <c r="P14" s="121"/>
      <c r="Q14" s="121"/>
      <c r="R14" s="114"/>
      <c r="S14" s="23" t="s">
        <v>28</v>
      </c>
      <c r="T14" s="23" t="s">
        <v>29</v>
      </c>
      <c r="U14" s="22" t="s">
        <v>20</v>
      </c>
      <c r="V14" s="110">
        <v>3450</v>
      </c>
      <c r="W14" s="110"/>
      <c r="X14" s="110">
        <v>4382</v>
      </c>
      <c r="Y14" s="110"/>
      <c r="Z14" s="110"/>
      <c r="AA14" s="90"/>
    </row>
    <row r="15" spans="1:27" ht="20.100000000000001" customHeight="1" x14ac:dyDescent="0.25">
      <c r="A15" s="3"/>
      <c r="B15" s="3"/>
      <c r="C15" s="4"/>
      <c r="D15" s="5"/>
      <c r="E15" s="5"/>
      <c r="F15" s="5"/>
      <c r="G15" s="5"/>
      <c r="H15" s="5"/>
      <c r="I15" s="3"/>
      <c r="J15" s="3"/>
      <c r="K15" s="3"/>
      <c r="L15" s="4"/>
      <c r="M15" s="5"/>
      <c r="N15" s="5"/>
      <c r="O15" s="5"/>
      <c r="P15" s="5"/>
      <c r="Q15" s="5"/>
      <c r="R15" s="3"/>
      <c r="S15" s="3"/>
      <c r="T15" s="3"/>
      <c r="U15" s="4"/>
      <c r="V15" s="5"/>
      <c r="W15" s="5"/>
      <c r="X15" s="5"/>
      <c r="Y15" s="5"/>
      <c r="Z15" s="5"/>
      <c r="AA15" s="3"/>
    </row>
    <row r="16" spans="1:27" ht="20.100000000000001" customHeight="1" x14ac:dyDescent="0.25">
      <c r="A16" s="143" t="s">
        <v>11</v>
      </c>
      <c r="B16" s="143"/>
      <c r="C16" s="9" t="s">
        <v>19</v>
      </c>
      <c r="D16" s="132" t="s">
        <v>47</v>
      </c>
      <c r="E16" s="132"/>
      <c r="F16" s="132" t="s">
        <v>47</v>
      </c>
      <c r="G16" s="132"/>
      <c r="H16" s="132"/>
      <c r="I16" s="117" t="s">
        <v>45</v>
      </c>
      <c r="J16" s="115" t="s">
        <v>11</v>
      </c>
      <c r="K16" s="115"/>
      <c r="L16" s="18" t="s">
        <v>19</v>
      </c>
      <c r="M16" s="116" t="s">
        <v>47</v>
      </c>
      <c r="N16" s="116"/>
      <c r="O16" s="116" t="s">
        <v>47</v>
      </c>
      <c r="P16" s="116"/>
      <c r="Q16" s="116"/>
      <c r="R16" s="117" t="s">
        <v>45</v>
      </c>
      <c r="S16" s="100" t="s">
        <v>11</v>
      </c>
      <c r="T16" s="100"/>
      <c r="U16" s="24" t="s">
        <v>19</v>
      </c>
      <c r="V16" s="99" t="s">
        <v>47</v>
      </c>
      <c r="W16" s="99"/>
      <c r="X16" s="99" t="s">
        <v>47</v>
      </c>
      <c r="Y16" s="99"/>
      <c r="Z16" s="99"/>
      <c r="AA16" s="101" t="s">
        <v>45</v>
      </c>
    </row>
    <row r="17" spans="1:27" ht="20.100000000000001" customHeight="1" thickBot="1" x14ac:dyDescent="0.3">
      <c r="A17" s="31" t="s">
        <v>31</v>
      </c>
      <c r="B17" s="31" t="s">
        <v>32</v>
      </c>
      <c r="C17" s="32" t="s">
        <v>20</v>
      </c>
      <c r="D17" s="134">
        <v>3300</v>
      </c>
      <c r="E17" s="134"/>
      <c r="F17" s="134">
        <f>D17*1.27</f>
        <v>4191</v>
      </c>
      <c r="G17" s="134"/>
      <c r="H17" s="134"/>
      <c r="I17" s="117"/>
      <c r="J17" s="44" t="s">
        <v>31</v>
      </c>
      <c r="K17" s="44" t="s">
        <v>32</v>
      </c>
      <c r="L17" s="45" t="s">
        <v>20</v>
      </c>
      <c r="M17" s="118">
        <v>3400</v>
      </c>
      <c r="N17" s="118"/>
      <c r="O17" s="118">
        <v>4318</v>
      </c>
      <c r="P17" s="118"/>
      <c r="Q17" s="118"/>
      <c r="R17" s="117"/>
      <c r="S17" s="46" t="s">
        <v>31</v>
      </c>
      <c r="T17" s="46" t="s">
        <v>32</v>
      </c>
      <c r="U17" s="47" t="s">
        <v>20</v>
      </c>
      <c r="V17" s="104">
        <v>3550</v>
      </c>
      <c r="W17" s="104"/>
      <c r="X17" s="104">
        <v>4509</v>
      </c>
      <c r="Y17" s="104"/>
      <c r="Z17" s="104"/>
      <c r="AA17" s="102"/>
    </row>
    <row r="18" spans="1:27" ht="20.100000000000001" customHeight="1" x14ac:dyDescent="0.25">
      <c r="A18" s="142" t="s">
        <v>12</v>
      </c>
      <c r="B18" s="142"/>
      <c r="C18" s="30" t="s">
        <v>19</v>
      </c>
      <c r="D18" s="133" t="s">
        <v>47</v>
      </c>
      <c r="E18" s="133"/>
      <c r="F18" s="133" t="s">
        <v>47</v>
      </c>
      <c r="G18" s="133"/>
      <c r="H18" s="133"/>
      <c r="I18" s="117"/>
      <c r="J18" s="119" t="s">
        <v>12</v>
      </c>
      <c r="K18" s="119"/>
      <c r="L18" s="42" t="s">
        <v>19</v>
      </c>
      <c r="M18" s="120" t="s">
        <v>47</v>
      </c>
      <c r="N18" s="120"/>
      <c r="O18" s="120" t="s">
        <v>47</v>
      </c>
      <c r="P18" s="120"/>
      <c r="Q18" s="120"/>
      <c r="R18" s="117"/>
      <c r="S18" s="105" t="s">
        <v>12</v>
      </c>
      <c r="T18" s="105"/>
      <c r="U18" s="43" t="s">
        <v>19</v>
      </c>
      <c r="V18" s="106" t="s">
        <v>47</v>
      </c>
      <c r="W18" s="106"/>
      <c r="X18" s="106" t="s">
        <v>47</v>
      </c>
      <c r="Y18" s="106"/>
      <c r="Z18" s="106"/>
      <c r="AA18" s="102"/>
    </row>
    <row r="19" spans="1:27" ht="20.100000000000001" customHeight="1" x14ac:dyDescent="0.25">
      <c r="A19" s="10" t="s">
        <v>33</v>
      </c>
      <c r="B19" s="10" t="s">
        <v>34</v>
      </c>
      <c r="C19" s="9" t="s">
        <v>20</v>
      </c>
      <c r="D19" s="132">
        <v>4050</v>
      </c>
      <c r="E19" s="132"/>
      <c r="F19" s="132">
        <v>5144</v>
      </c>
      <c r="G19" s="132"/>
      <c r="H19" s="132"/>
      <c r="I19" s="117"/>
      <c r="J19" s="19" t="s">
        <v>33</v>
      </c>
      <c r="K19" s="19" t="s">
        <v>34</v>
      </c>
      <c r="L19" s="18" t="s">
        <v>20</v>
      </c>
      <c r="M19" s="116">
        <v>4250</v>
      </c>
      <c r="N19" s="116"/>
      <c r="O19" s="116">
        <v>5398</v>
      </c>
      <c r="P19" s="116"/>
      <c r="Q19" s="116"/>
      <c r="R19" s="117"/>
      <c r="S19" s="25" t="s">
        <v>33</v>
      </c>
      <c r="T19" s="25" t="s">
        <v>34</v>
      </c>
      <c r="U19" s="24" t="s">
        <v>20</v>
      </c>
      <c r="V19" s="99">
        <v>4400</v>
      </c>
      <c r="W19" s="99"/>
      <c r="X19" s="99">
        <v>5580</v>
      </c>
      <c r="Y19" s="99"/>
      <c r="Z19" s="99"/>
      <c r="AA19" s="103"/>
    </row>
    <row r="20" spans="1:27" ht="20.100000000000001" customHeight="1" x14ac:dyDescent="0.25">
      <c r="A20" s="3"/>
      <c r="B20" s="3"/>
      <c r="C20" s="4"/>
      <c r="D20" s="5"/>
      <c r="E20" s="5"/>
      <c r="F20" s="5"/>
      <c r="G20" s="5"/>
      <c r="H20" s="5"/>
      <c r="I20" s="3"/>
      <c r="J20" s="3"/>
      <c r="K20" s="3"/>
      <c r="L20" s="4"/>
      <c r="M20" s="5"/>
      <c r="N20" s="5"/>
      <c r="O20" s="5"/>
      <c r="P20" s="5"/>
      <c r="Q20" s="5"/>
      <c r="R20" s="3"/>
      <c r="S20" s="3"/>
      <c r="T20" s="3"/>
      <c r="U20" s="4"/>
      <c r="V20" s="5"/>
      <c r="W20" s="5"/>
      <c r="X20" s="5"/>
      <c r="Y20" s="5"/>
      <c r="Z20" s="5"/>
      <c r="AA20" s="3"/>
    </row>
    <row r="21" spans="1:27" ht="20.100000000000001" customHeight="1" x14ac:dyDescent="0.25">
      <c r="A21" s="138" t="s">
        <v>13</v>
      </c>
      <c r="B21" s="138"/>
      <c r="C21" s="11" t="s">
        <v>21</v>
      </c>
      <c r="D21" s="126">
        <v>2550</v>
      </c>
      <c r="E21" s="126"/>
      <c r="F21" s="126">
        <v>3238</v>
      </c>
      <c r="G21" s="126"/>
      <c r="H21" s="131"/>
      <c r="I21" s="114" t="s">
        <v>46</v>
      </c>
      <c r="J21" s="91" t="s">
        <v>13</v>
      </c>
      <c r="K21" s="91"/>
      <c r="L21" s="20" t="s">
        <v>21</v>
      </c>
      <c r="M21" s="95" t="s">
        <v>47</v>
      </c>
      <c r="N21" s="95"/>
      <c r="O21" s="95" t="s">
        <v>47</v>
      </c>
      <c r="P21" s="95"/>
      <c r="Q21" s="95"/>
      <c r="R21" s="114" t="s">
        <v>46</v>
      </c>
      <c r="S21" s="86" t="s">
        <v>13</v>
      </c>
      <c r="T21" s="86"/>
      <c r="U21" s="26" t="s">
        <v>21</v>
      </c>
      <c r="V21" s="83" t="s">
        <v>47</v>
      </c>
      <c r="W21" s="83"/>
      <c r="X21" s="83" t="s">
        <v>47</v>
      </c>
      <c r="Y21" s="83"/>
      <c r="Z21" s="83"/>
      <c r="AA21" s="87" t="s">
        <v>46</v>
      </c>
    </row>
    <row r="22" spans="1:27" ht="20.100000000000001" customHeight="1" x14ac:dyDescent="0.25">
      <c r="A22" s="12" t="s">
        <v>36</v>
      </c>
      <c r="B22" s="12" t="s">
        <v>37</v>
      </c>
      <c r="C22" s="11" t="s">
        <v>19</v>
      </c>
      <c r="D22" s="126">
        <v>2800</v>
      </c>
      <c r="E22" s="126"/>
      <c r="F22" s="126">
        <v>3556</v>
      </c>
      <c r="G22" s="126"/>
      <c r="H22" s="131"/>
      <c r="I22" s="114"/>
      <c r="J22" s="21" t="s">
        <v>36</v>
      </c>
      <c r="K22" s="21" t="s">
        <v>37</v>
      </c>
      <c r="L22" s="20" t="s">
        <v>19</v>
      </c>
      <c r="M22" s="95">
        <v>2950</v>
      </c>
      <c r="N22" s="95"/>
      <c r="O22" s="95">
        <v>3747</v>
      </c>
      <c r="P22" s="95"/>
      <c r="Q22" s="95"/>
      <c r="R22" s="114"/>
      <c r="S22" s="27" t="s">
        <v>36</v>
      </c>
      <c r="T22" s="27" t="s">
        <v>37</v>
      </c>
      <c r="U22" s="26" t="s">
        <v>19</v>
      </c>
      <c r="V22" s="83">
        <v>3050</v>
      </c>
      <c r="W22" s="83"/>
      <c r="X22" s="83">
        <v>3874</v>
      </c>
      <c r="Y22" s="83"/>
      <c r="Z22" s="83"/>
      <c r="AA22" s="88"/>
    </row>
    <row r="23" spans="1:27" ht="20.100000000000001" customHeight="1" thickBot="1" x14ac:dyDescent="0.3">
      <c r="A23" s="34"/>
      <c r="B23" s="34"/>
      <c r="C23" s="35" t="s">
        <v>20</v>
      </c>
      <c r="D23" s="130">
        <v>2950</v>
      </c>
      <c r="E23" s="130"/>
      <c r="F23" s="130">
        <v>3747</v>
      </c>
      <c r="G23" s="130"/>
      <c r="H23" s="130"/>
      <c r="I23" s="114"/>
      <c r="J23" s="50"/>
      <c r="K23" s="50"/>
      <c r="L23" s="51" t="s">
        <v>20</v>
      </c>
      <c r="M23" s="93">
        <v>3050</v>
      </c>
      <c r="N23" s="93"/>
      <c r="O23" s="93">
        <v>3874</v>
      </c>
      <c r="P23" s="93"/>
      <c r="Q23" s="93"/>
      <c r="R23" s="114"/>
      <c r="S23" s="52"/>
      <c r="T23" s="52"/>
      <c r="U23" s="53" t="s">
        <v>20</v>
      </c>
      <c r="V23" s="98">
        <v>3200</v>
      </c>
      <c r="W23" s="98"/>
      <c r="X23" s="98">
        <v>4064</v>
      </c>
      <c r="Y23" s="98"/>
      <c r="Z23" s="98"/>
      <c r="AA23" s="88"/>
    </row>
    <row r="24" spans="1:27" ht="20.100000000000001" customHeight="1" x14ac:dyDescent="0.25">
      <c r="A24" s="139" t="s">
        <v>14</v>
      </c>
      <c r="B24" s="139"/>
      <c r="C24" s="33" t="s">
        <v>21</v>
      </c>
      <c r="D24" s="128">
        <v>2550</v>
      </c>
      <c r="E24" s="128"/>
      <c r="F24" s="128">
        <v>3238</v>
      </c>
      <c r="G24" s="128"/>
      <c r="H24" s="129"/>
      <c r="I24" s="114"/>
      <c r="J24" s="92" t="s">
        <v>14</v>
      </c>
      <c r="K24" s="92"/>
      <c r="L24" s="48" t="s">
        <v>21</v>
      </c>
      <c r="M24" s="94" t="s">
        <v>47</v>
      </c>
      <c r="N24" s="94"/>
      <c r="O24" s="94" t="s">
        <v>47</v>
      </c>
      <c r="P24" s="94"/>
      <c r="Q24" s="94"/>
      <c r="R24" s="114"/>
      <c r="S24" s="96" t="s">
        <v>14</v>
      </c>
      <c r="T24" s="96"/>
      <c r="U24" s="49" t="s">
        <v>21</v>
      </c>
      <c r="V24" s="97" t="s">
        <v>47</v>
      </c>
      <c r="W24" s="97"/>
      <c r="X24" s="97" t="s">
        <v>47</v>
      </c>
      <c r="Y24" s="97"/>
      <c r="Z24" s="97"/>
      <c r="AA24" s="88"/>
    </row>
    <row r="25" spans="1:27" ht="20.100000000000001" customHeight="1" x14ac:dyDescent="0.25">
      <c r="A25" s="12" t="s">
        <v>38</v>
      </c>
      <c r="B25" s="12" t="s">
        <v>39</v>
      </c>
      <c r="C25" s="11" t="s">
        <v>19</v>
      </c>
      <c r="D25" s="126">
        <v>2850</v>
      </c>
      <c r="E25" s="126"/>
      <c r="F25" s="126">
        <v>3620</v>
      </c>
      <c r="G25" s="126"/>
      <c r="H25" s="126"/>
      <c r="I25" s="114"/>
      <c r="J25" s="21" t="s">
        <v>38</v>
      </c>
      <c r="K25" s="21" t="s">
        <v>39</v>
      </c>
      <c r="L25" s="20" t="s">
        <v>19</v>
      </c>
      <c r="M25" s="95">
        <v>2950</v>
      </c>
      <c r="N25" s="95"/>
      <c r="O25" s="95">
        <v>3747</v>
      </c>
      <c r="P25" s="95"/>
      <c r="Q25" s="95"/>
      <c r="R25" s="114"/>
      <c r="S25" s="27" t="s">
        <v>38</v>
      </c>
      <c r="T25" s="27" t="s">
        <v>39</v>
      </c>
      <c r="U25" s="26" t="s">
        <v>19</v>
      </c>
      <c r="V25" s="83">
        <v>3100</v>
      </c>
      <c r="W25" s="83"/>
      <c r="X25" s="83">
        <v>3937</v>
      </c>
      <c r="Y25" s="83"/>
      <c r="Z25" s="83"/>
      <c r="AA25" s="88"/>
    </row>
    <row r="26" spans="1:27" ht="20.100000000000001" customHeight="1" thickBot="1" x14ac:dyDescent="0.3">
      <c r="A26" s="34"/>
      <c r="B26" s="34"/>
      <c r="C26" s="35" t="s">
        <v>20</v>
      </c>
      <c r="D26" s="130">
        <v>3000</v>
      </c>
      <c r="E26" s="130"/>
      <c r="F26" s="130">
        <v>3810</v>
      </c>
      <c r="G26" s="130"/>
      <c r="H26" s="130"/>
      <c r="I26" s="114"/>
      <c r="J26" s="50"/>
      <c r="K26" s="50"/>
      <c r="L26" s="51" t="s">
        <v>20</v>
      </c>
      <c r="M26" s="93">
        <v>3100</v>
      </c>
      <c r="N26" s="93"/>
      <c r="O26" s="93">
        <v>3937</v>
      </c>
      <c r="P26" s="93"/>
      <c r="Q26" s="93"/>
      <c r="R26" s="114"/>
      <c r="S26" s="52"/>
      <c r="T26" s="52"/>
      <c r="U26" s="53" t="s">
        <v>20</v>
      </c>
      <c r="V26" s="98">
        <v>3250</v>
      </c>
      <c r="W26" s="98"/>
      <c r="X26" s="98">
        <v>4128</v>
      </c>
      <c r="Y26" s="98"/>
      <c r="Z26" s="98"/>
      <c r="AA26" s="88"/>
    </row>
    <row r="27" spans="1:27" ht="20.100000000000001" customHeight="1" x14ac:dyDescent="0.25">
      <c r="A27" s="139" t="s">
        <v>15</v>
      </c>
      <c r="B27" s="139"/>
      <c r="C27" s="33" t="s">
        <v>21</v>
      </c>
      <c r="D27" s="128">
        <v>2550</v>
      </c>
      <c r="E27" s="128"/>
      <c r="F27" s="128">
        <v>3238</v>
      </c>
      <c r="G27" s="128"/>
      <c r="H27" s="129"/>
      <c r="I27" s="114"/>
      <c r="J27" s="92" t="s">
        <v>15</v>
      </c>
      <c r="K27" s="92"/>
      <c r="L27" s="48" t="s">
        <v>21</v>
      </c>
      <c r="M27" s="94" t="s">
        <v>47</v>
      </c>
      <c r="N27" s="94"/>
      <c r="O27" s="94" t="s">
        <v>47</v>
      </c>
      <c r="P27" s="94"/>
      <c r="Q27" s="94"/>
      <c r="R27" s="114"/>
      <c r="S27" s="96" t="s">
        <v>15</v>
      </c>
      <c r="T27" s="96"/>
      <c r="U27" s="49" t="s">
        <v>21</v>
      </c>
      <c r="V27" s="97" t="s">
        <v>47</v>
      </c>
      <c r="W27" s="97"/>
      <c r="X27" s="97" t="s">
        <v>47</v>
      </c>
      <c r="Y27" s="97"/>
      <c r="Z27" s="97"/>
      <c r="AA27" s="88"/>
    </row>
    <row r="28" spans="1:27" ht="20.100000000000001" customHeight="1" x14ac:dyDescent="0.25">
      <c r="A28" s="12" t="s">
        <v>25</v>
      </c>
      <c r="B28" s="12" t="s">
        <v>6</v>
      </c>
      <c r="C28" s="11" t="s">
        <v>19</v>
      </c>
      <c r="D28" s="126">
        <v>2850</v>
      </c>
      <c r="E28" s="126"/>
      <c r="F28" s="126">
        <v>3620</v>
      </c>
      <c r="G28" s="126"/>
      <c r="H28" s="131"/>
      <c r="I28" s="114"/>
      <c r="J28" s="21" t="s">
        <v>25</v>
      </c>
      <c r="K28" s="21" t="s">
        <v>6</v>
      </c>
      <c r="L28" s="20" t="s">
        <v>19</v>
      </c>
      <c r="M28" s="95">
        <v>2950</v>
      </c>
      <c r="N28" s="95"/>
      <c r="O28" s="95">
        <v>3747</v>
      </c>
      <c r="P28" s="95"/>
      <c r="Q28" s="95"/>
      <c r="R28" s="114"/>
      <c r="S28" s="27" t="s">
        <v>25</v>
      </c>
      <c r="T28" s="27" t="s">
        <v>6</v>
      </c>
      <c r="U28" s="26" t="s">
        <v>19</v>
      </c>
      <c r="V28" s="83">
        <v>3100</v>
      </c>
      <c r="W28" s="83"/>
      <c r="X28" s="83">
        <v>3937</v>
      </c>
      <c r="Y28" s="83"/>
      <c r="Z28" s="83"/>
      <c r="AA28" s="88"/>
    </row>
    <row r="29" spans="1:27" ht="20.100000000000001" customHeight="1" thickBot="1" x14ac:dyDescent="0.3">
      <c r="A29" s="34"/>
      <c r="B29" s="34"/>
      <c r="C29" s="35" t="s">
        <v>20</v>
      </c>
      <c r="D29" s="130">
        <v>3000</v>
      </c>
      <c r="E29" s="130"/>
      <c r="F29" s="130">
        <v>3810</v>
      </c>
      <c r="G29" s="130"/>
      <c r="H29" s="130"/>
      <c r="I29" s="114"/>
      <c r="J29" s="50"/>
      <c r="K29" s="50"/>
      <c r="L29" s="51" t="s">
        <v>20</v>
      </c>
      <c r="M29" s="93">
        <v>3100</v>
      </c>
      <c r="N29" s="93"/>
      <c r="O29" s="93">
        <v>3937</v>
      </c>
      <c r="P29" s="93"/>
      <c r="Q29" s="93"/>
      <c r="R29" s="114"/>
      <c r="S29" s="52"/>
      <c r="T29" s="52"/>
      <c r="U29" s="53" t="s">
        <v>20</v>
      </c>
      <c r="V29" s="98">
        <v>3250</v>
      </c>
      <c r="W29" s="98"/>
      <c r="X29" s="98">
        <v>4128</v>
      </c>
      <c r="Y29" s="98"/>
      <c r="Z29" s="98"/>
      <c r="AA29" s="88"/>
    </row>
    <row r="30" spans="1:27" ht="20.100000000000001" customHeight="1" x14ac:dyDescent="0.25">
      <c r="A30" s="139" t="s">
        <v>16</v>
      </c>
      <c r="B30" s="139"/>
      <c r="C30" s="33" t="s">
        <v>19</v>
      </c>
      <c r="D30" s="128">
        <v>3100</v>
      </c>
      <c r="E30" s="128"/>
      <c r="F30" s="128">
        <v>3937</v>
      </c>
      <c r="G30" s="128"/>
      <c r="H30" s="129"/>
      <c r="I30" s="114"/>
      <c r="J30" s="92" t="s">
        <v>16</v>
      </c>
      <c r="K30" s="92"/>
      <c r="L30" s="48" t="s">
        <v>19</v>
      </c>
      <c r="M30" s="94">
        <v>3250</v>
      </c>
      <c r="N30" s="94"/>
      <c r="O30" s="94">
        <v>4128</v>
      </c>
      <c r="P30" s="94"/>
      <c r="Q30" s="94"/>
      <c r="R30" s="114"/>
      <c r="S30" s="96" t="s">
        <v>16</v>
      </c>
      <c r="T30" s="96"/>
      <c r="U30" s="49" t="s">
        <v>19</v>
      </c>
      <c r="V30" s="97">
        <v>3350</v>
      </c>
      <c r="W30" s="97"/>
      <c r="X30" s="97">
        <v>4255</v>
      </c>
      <c r="Y30" s="97"/>
      <c r="Z30" s="97"/>
      <c r="AA30" s="88"/>
    </row>
    <row r="31" spans="1:27" ht="20.100000000000001" customHeight="1" thickBot="1" x14ac:dyDescent="0.3">
      <c r="A31" s="34" t="s">
        <v>40</v>
      </c>
      <c r="B31" s="34" t="s">
        <v>41</v>
      </c>
      <c r="C31" s="35" t="s">
        <v>20</v>
      </c>
      <c r="D31" s="130">
        <v>3250</v>
      </c>
      <c r="E31" s="130"/>
      <c r="F31" s="130">
        <v>4128</v>
      </c>
      <c r="G31" s="130"/>
      <c r="H31" s="130"/>
      <c r="I31" s="114"/>
      <c r="J31" s="50" t="s">
        <v>40</v>
      </c>
      <c r="K31" s="50" t="s">
        <v>41</v>
      </c>
      <c r="L31" s="51" t="s">
        <v>20</v>
      </c>
      <c r="M31" s="93">
        <v>3400</v>
      </c>
      <c r="N31" s="93"/>
      <c r="O31" s="93">
        <v>4318</v>
      </c>
      <c r="P31" s="93"/>
      <c r="Q31" s="93"/>
      <c r="R31" s="114"/>
      <c r="S31" s="52" t="s">
        <v>40</v>
      </c>
      <c r="T31" s="52" t="s">
        <v>41</v>
      </c>
      <c r="U31" s="53" t="s">
        <v>20</v>
      </c>
      <c r="V31" s="98">
        <v>3550</v>
      </c>
      <c r="W31" s="98"/>
      <c r="X31" s="98">
        <v>4509</v>
      </c>
      <c r="Y31" s="98"/>
      <c r="Z31" s="98"/>
      <c r="AA31" s="88"/>
    </row>
    <row r="32" spans="1:27" ht="20.100000000000001" customHeight="1" x14ac:dyDescent="0.25">
      <c r="A32" s="139" t="s">
        <v>17</v>
      </c>
      <c r="B32" s="139"/>
      <c r="C32" s="33" t="s">
        <v>19</v>
      </c>
      <c r="D32" s="128" t="s">
        <v>47</v>
      </c>
      <c r="E32" s="128"/>
      <c r="F32" s="128" t="s">
        <v>47</v>
      </c>
      <c r="G32" s="128"/>
      <c r="H32" s="129"/>
      <c r="I32" s="114"/>
      <c r="J32" s="92" t="s">
        <v>17</v>
      </c>
      <c r="K32" s="92"/>
      <c r="L32" s="48" t="s">
        <v>19</v>
      </c>
      <c r="M32" s="94" t="s">
        <v>47</v>
      </c>
      <c r="N32" s="94"/>
      <c r="O32" s="94" t="s">
        <v>47</v>
      </c>
      <c r="P32" s="94"/>
      <c r="Q32" s="94"/>
      <c r="R32" s="114"/>
      <c r="S32" s="96" t="s">
        <v>17</v>
      </c>
      <c r="T32" s="96"/>
      <c r="U32" s="49" t="s">
        <v>19</v>
      </c>
      <c r="V32" s="97" t="s">
        <v>47</v>
      </c>
      <c r="W32" s="97"/>
      <c r="X32" s="97" t="s">
        <v>47</v>
      </c>
      <c r="Y32" s="97"/>
      <c r="Z32" s="97"/>
      <c r="AA32" s="88"/>
    </row>
    <row r="33" spans="1:27" ht="20.100000000000001" customHeight="1" x14ac:dyDescent="0.25">
      <c r="A33" s="12" t="s">
        <v>42</v>
      </c>
      <c r="B33" s="12" t="s">
        <v>43</v>
      </c>
      <c r="C33" s="11" t="s">
        <v>20</v>
      </c>
      <c r="D33" s="126">
        <v>3350</v>
      </c>
      <c r="E33" s="126"/>
      <c r="F33" s="126">
        <v>4255</v>
      </c>
      <c r="G33" s="126"/>
      <c r="H33" s="131"/>
      <c r="I33" s="114"/>
      <c r="J33" s="21" t="s">
        <v>42</v>
      </c>
      <c r="K33" s="21" t="s">
        <v>43</v>
      </c>
      <c r="L33" s="20" t="s">
        <v>20</v>
      </c>
      <c r="M33" s="95">
        <v>3450</v>
      </c>
      <c r="N33" s="95"/>
      <c r="O33" s="95">
        <v>4382</v>
      </c>
      <c r="P33" s="95"/>
      <c r="Q33" s="95"/>
      <c r="R33" s="114"/>
      <c r="S33" s="27" t="s">
        <v>42</v>
      </c>
      <c r="T33" s="27" t="s">
        <v>43</v>
      </c>
      <c r="U33" s="26" t="s">
        <v>20</v>
      </c>
      <c r="V33" s="83">
        <v>3650</v>
      </c>
      <c r="W33" s="83"/>
      <c r="X33" s="83">
        <v>4036</v>
      </c>
      <c r="Y33" s="83"/>
      <c r="Z33" s="83"/>
      <c r="AA33" s="88"/>
    </row>
    <row r="34" spans="1:27" ht="20.100000000000001" customHeight="1" x14ac:dyDescent="0.25">
      <c r="A34" s="3"/>
      <c r="B34" s="3"/>
      <c r="C34" s="4"/>
      <c r="D34" s="85" t="s">
        <v>48</v>
      </c>
      <c r="E34" s="85"/>
      <c r="F34" s="85" t="s">
        <v>49</v>
      </c>
      <c r="G34" s="85"/>
      <c r="H34" s="85"/>
      <c r="I34" s="114"/>
      <c r="J34" s="3"/>
      <c r="K34" s="3"/>
      <c r="L34" s="4"/>
      <c r="M34" s="85" t="s">
        <v>48</v>
      </c>
      <c r="N34" s="85"/>
      <c r="O34" s="85" t="s">
        <v>49</v>
      </c>
      <c r="P34" s="85"/>
      <c r="Q34" s="85"/>
      <c r="R34" s="114"/>
      <c r="S34" s="3"/>
      <c r="T34" s="3"/>
      <c r="U34" s="4"/>
      <c r="V34" s="85" t="s">
        <v>48</v>
      </c>
      <c r="W34" s="85"/>
      <c r="X34" s="85" t="s">
        <v>49</v>
      </c>
      <c r="Y34" s="85"/>
      <c r="Z34" s="85"/>
      <c r="AA34" s="89"/>
    </row>
    <row r="35" spans="1:27" ht="20.100000000000001" customHeight="1" x14ac:dyDescent="0.25">
      <c r="A35" s="138" t="s">
        <v>13</v>
      </c>
      <c r="B35" s="138"/>
      <c r="C35" s="11" t="s">
        <v>19</v>
      </c>
      <c r="D35" s="126">
        <v>3890</v>
      </c>
      <c r="E35" s="126"/>
      <c r="F35" s="126">
        <v>4250</v>
      </c>
      <c r="G35" s="126"/>
      <c r="H35" s="126"/>
      <c r="I35" s="114"/>
      <c r="J35" s="91" t="s">
        <v>13</v>
      </c>
      <c r="K35" s="91"/>
      <c r="L35" s="20" t="s">
        <v>19</v>
      </c>
      <c r="M35" s="95">
        <v>3890</v>
      </c>
      <c r="N35" s="95"/>
      <c r="O35" s="95">
        <v>4250</v>
      </c>
      <c r="P35" s="95"/>
      <c r="Q35" s="95"/>
      <c r="R35" s="114"/>
      <c r="S35" s="86" t="s">
        <v>13</v>
      </c>
      <c r="T35" s="86"/>
      <c r="U35" s="26" t="s">
        <v>19</v>
      </c>
      <c r="V35" s="83">
        <v>3890</v>
      </c>
      <c r="W35" s="83"/>
      <c r="X35" s="83">
        <v>4250</v>
      </c>
      <c r="Y35" s="83"/>
      <c r="Z35" s="83"/>
      <c r="AA35" s="88"/>
    </row>
    <row r="36" spans="1:27" ht="20.100000000000001" customHeight="1" x14ac:dyDescent="0.25">
      <c r="A36" s="12" t="s">
        <v>36</v>
      </c>
      <c r="B36" s="12" t="s">
        <v>37</v>
      </c>
      <c r="C36" s="11"/>
      <c r="D36" s="126"/>
      <c r="E36" s="126"/>
      <c r="F36" s="126"/>
      <c r="G36" s="126"/>
      <c r="H36" s="126"/>
      <c r="I36" s="114"/>
      <c r="J36" s="21" t="s">
        <v>36</v>
      </c>
      <c r="K36" s="21" t="s">
        <v>37</v>
      </c>
      <c r="L36" s="20"/>
      <c r="M36" s="95"/>
      <c r="N36" s="95"/>
      <c r="O36" s="95"/>
      <c r="P36" s="95"/>
      <c r="Q36" s="95"/>
      <c r="R36" s="114"/>
      <c r="S36" s="27" t="s">
        <v>36</v>
      </c>
      <c r="T36" s="27" t="s">
        <v>37</v>
      </c>
      <c r="U36" s="26"/>
      <c r="V36" s="83"/>
      <c r="W36" s="83"/>
      <c r="X36" s="83"/>
      <c r="Y36" s="83"/>
      <c r="Z36" s="83"/>
      <c r="AA36" s="90"/>
    </row>
    <row r="37" spans="1:27" ht="20.100000000000001" customHeight="1" x14ac:dyDescent="0.25">
      <c r="A37" s="3"/>
      <c r="B37" s="3"/>
      <c r="C37" s="3"/>
      <c r="D37" s="5"/>
      <c r="E37" s="5"/>
      <c r="F37" s="5"/>
      <c r="G37" s="5"/>
      <c r="H37" s="5"/>
      <c r="I37" s="3"/>
      <c r="J37" s="3"/>
      <c r="K37" s="3"/>
      <c r="L37" s="3"/>
      <c r="M37" s="5"/>
      <c r="N37" s="5"/>
      <c r="O37" s="5"/>
      <c r="P37" s="5"/>
      <c r="Q37" s="5"/>
      <c r="R37" s="3"/>
    </row>
    <row r="38" spans="1:27" x14ac:dyDescent="0.25">
      <c r="A38" s="3"/>
      <c r="B38" s="3"/>
      <c r="C38" s="3"/>
      <c r="D38" s="5"/>
      <c r="E38" s="5"/>
      <c r="F38" s="5"/>
      <c r="G38" s="5"/>
      <c r="H38" s="5"/>
      <c r="I38" s="3"/>
      <c r="J38" s="3"/>
      <c r="K38" s="3"/>
      <c r="L38" s="3"/>
      <c r="M38" s="5"/>
      <c r="N38" s="5"/>
      <c r="O38" s="5"/>
      <c r="P38" s="5"/>
      <c r="Q38" s="5"/>
      <c r="R38" s="3"/>
    </row>
    <row r="39" spans="1:27" x14ac:dyDescent="0.25">
      <c r="A39" s="3"/>
      <c r="B39" s="3"/>
      <c r="C39" s="3"/>
      <c r="D39" s="5"/>
      <c r="E39" s="5"/>
      <c r="F39" s="5"/>
      <c r="G39" s="5"/>
      <c r="H39" s="5"/>
      <c r="I39" s="3"/>
      <c r="J39" s="3"/>
      <c r="K39" s="3"/>
      <c r="L39" s="3"/>
      <c r="M39" s="5"/>
      <c r="N39" s="5"/>
      <c r="O39" s="5"/>
      <c r="P39" s="5"/>
      <c r="Q39" s="5"/>
      <c r="R39" s="3"/>
    </row>
    <row r="40" spans="1:27" x14ac:dyDescent="0.25">
      <c r="A40" s="3"/>
      <c r="B40" s="3"/>
      <c r="C40" s="3"/>
      <c r="D40" s="3"/>
      <c r="E40" s="3"/>
      <c r="F40" s="5"/>
      <c r="G40" s="5"/>
      <c r="H40" s="5"/>
      <c r="I40" s="3"/>
      <c r="J40" s="3"/>
      <c r="K40" s="3"/>
      <c r="L40" s="3"/>
      <c r="M40" s="3"/>
      <c r="N40" s="3"/>
      <c r="O40" s="5"/>
      <c r="P40" s="5"/>
      <c r="Q40" s="5"/>
      <c r="R40" s="3"/>
    </row>
    <row r="41" spans="1:27" ht="16.5" customHeight="1" x14ac:dyDescent="0.25">
      <c r="A41" s="84" t="s">
        <v>51</v>
      </c>
      <c r="B41" s="84"/>
      <c r="C41" s="84"/>
      <c r="D41" s="84"/>
      <c r="E41" s="84"/>
      <c r="F41" s="84"/>
      <c r="G41" s="84"/>
      <c r="H41" s="84"/>
      <c r="I41" s="84"/>
      <c r="J41" s="84" t="s">
        <v>51</v>
      </c>
      <c r="K41" s="84"/>
      <c r="L41" s="84"/>
      <c r="M41" s="84"/>
      <c r="N41" s="84"/>
      <c r="O41" s="84"/>
      <c r="P41" s="84"/>
      <c r="Q41" s="84"/>
      <c r="R41" s="84"/>
      <c r="S41" s="84" t="s">
        <v>51</v>
      </c>
      <c r="T41" s="84"/>
      <c r="U41" s="84"/>
      <c r="V41" s="84"/>
      <c r="W41" s="84"/>
      <c r="X41" s="84"/>
      <c r="Y41" s="84"/>
      <c r="Z41" s="84"/>
      <c r="AA41" s="84"/>
    </row>
    <row r="42" spans="1:27" ht="15.75" customHeight="1" x14ac:dyDescent="0.25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</row>
  </sheetData>
  <mergeCells count="240">
    <mergeCell ref="A1:I2"/>
    <mergeCell ref="A5:B5"/>
    <mergeCell ref="A18:B18"/>
    <mergeCell ref="A16:B16"/>
    <mergeCell ref="A13:B13"/>
    <mergeCell ref="A11:B11"/>
    <mergeCell ref="A9:B9"/>
    <mergeCell ref="A7:B7"/>
    <mergeCell ref="I16:I19"/>
    <mergeCell ref="D14:E14"/>
    <mergeCell ref="D13:E13"/>
    <mergeCell ref="D12:E12"/>
    <mergeCell ref="D11:E11"/>
    <mergeCell ref="D6:E6"/>
    <mergeCell ref="D5:E5"/>
    <mergeCell ref="D3:E4"/>
    <mergeCell ref="F3:H4"/>
    <mergeCell ref="I5:I14"/>
    <mergeCell ref="F18:H18"/>
    <mergeCell ref="F17:H17"/>
    <mergeCell ref="F16:H16"/>
    <mergeCell ref="F14:H14"/>
    <mergeCell ref="F13:H13"/>
    <mergeCell ref="F12:H12"/>
    <mergeCell ref="A32:B32"/>
    <mergeCell ref="A30:B30"/>
    <mergeCell ref="A27:B27"/>
    <mergeCell ref="A24:B24"/>
    <mergeCell ref="A21:B21"/>
    <mergeCell ref="D10:E10"/>
    <mergeCell ref="D9:E9"/>
    <mergeCell ref="D8:E8"/>
    <mergeCell ref="D7:E7"/>
    <mergeCell ref="D31:E31"/>
    <mergeCell ref="D30:E30"/>
    <mergeCell ref="D29:E29"/>
    <mergeCell ref="F11:H11"/>
    <mergeCell ref="F10:H10"/>
    <mergeCell ref="F9:H9"/>
    <mergeCell ref="A35:B35"/>
    <mergeCell ref="D35:E35"/>
    <mergeCell ref="F35:H35"/>
    <mergeCell ref="D21:E21"/>
    <mergeCell ref="F33:H33"/>
    <mergeCell ref="F32:H32"/>
    <mergeCell ref="F31:H31"/>
    <mergeCell ref="F30:H30"/>
    <mergeCell ref="F29:H29"/>
    <mergeCell ref="F28:H28"/>
    <mergeCell ref="F27:H27"/>
    <mergeCell ref="F26:H26"/>
    <mergeCell ref="F25:H25"/>
    <mergeCell ref="D27:E27"/>
    <mergeCell ref="D26:E26"/>
    <mergeCell ref="D25:E25"/>
    <mergeCell ref="D24:E24"/>
    <mergeCell ref="D23:E23"/>
    <mergeCell ref="D22:E22"/>
    <mergeCell ref="D33:E33"/>
    <mergeCell ref="D32:E32"/>
    <mergeCell ref="D36:E36"/>
    <mergeCell ref="F36:H36"/>
    <mergeCell ref="D34:E34"/>
    <mergeCell ref="F34:H34"/>
    <mergeCell ref="I21:I36"/>
    <mergeCell ref="J1:R2"/>
    <mergeCell ref="M3:N4"/>
    <mergeCell ref="O3:Q4"/>
    <mergeCell ref="J5:K5"/>
    <mergeCell ref="M5:N5"/>
    <mergeCell ref="F24:H24"/>
    <mergeCell ref="F23:H23"/>
    <mergeCell ref="F22:H22"/>
    <mergeCell ref="F21:H21"/>
    <mergeCell ref="D19:E19"/>
    <mergeCell ref="D18:E18"/>
    <mergeCell ref="D17:E17"/>
    <mergeCell ref="D16:E16"/>
    <mergeCell ref="D28:E28"/>
    <mergeCell ref="F8:H8"/>
    <mergeCell ref="F7:H7"/>
    <mergeCell ref="F6:H6"/>
    <mergeCell ref="F5:H5"/>
    <mergeCell ref="F19:H19"/>
    <mergeCell ref="O5:Q5"/>
    <mergeCell ref="R5:R14"/>
    <mergeCell ref="M6:N6"/>
    <mergeCell ref="O6:Q6"/>
    <mergeCell ref="J7:K7"/>
    <mergeCell ref="M7:N7"/>
    <mergeCell ref="O7:Q7"/>
    <mergeCell ref="M8:N8"/>
    <mergeCell ref="O8:Q8"/>
    <mergeCell ref="J9:K9"/>
    <mergeCell ref="M12:N12"/>
    <mergeCell ref="O12:Q12"/>
    <mergeCell ref="J13:K13"/>
    <mergeCell ref="M13:N13"/>
    <mergeCell ref="O13:Q13"/>
    <mergeCell ref="M14:N14"/>
    <mergeCell ref="O14:Q14"/>
    <mergeCell ref="M9:N9"/>
    <mergeCell ref="O9:Q9"/>
    <mergeCell ref="M10:N10"/>
    <mergeCell ref="O10:Q10"/>
    <mergeCell ref="J11:K11"/>
    <mergeCell ref="M11:N11"/>
    <mergeCell ref="O11:Q11"/>
    <mergeCell ref="J16:K16"/>
    <mergeCell ref="M16:N16"/>
    <mergeCell ref="O16:Q16"/>
    <mergeCell ref="R16:R19"/>
    <mergeCell ref="M17:N17"/>
    <mergeCell ref="O17:Q17"/>
    <mergeCell ref="J18:K18"/>
    <mergeCell ref="M18:N18"/>
    <mergeCell ref="O18:Q18"/>
    <mergeCell ref="M19:N19"/>
    <mergeCell ref="O19:Q19"/>
    <mergeCell ref="J21:K21"/>
    <mergeCell ref="M21:N21"/>
    <mergeCell ref="O21:Q21"/>
    <mergeCell ref="R21:R36"/>
    <mergeCell ref="M22:N22"/>
    <mergeCell ref="O22:Q22"/>
    <mergeCell ref="M23:N23"/>
    <mergeCell ref="O23:Q23"/>
    <mergeCell ref="J24:K24"/>
    <mergeCell ref="O28:Q28"/>
    <mergeCell ref="M29:N29"/>
    <mergeCell ref="O29:Q29"/>
    <mergeCell ref="M24:N24"/>
    <mergeCell ref="O24:Q24"/>
    <mergeCell ref="M25:N25"/>
    <mergeCell ref="O25:Q25"/>
    <mergeCell ref="M26:N26"/>
    <mergeCell ref="O26:Q26"/>
    <mergeCell ref="X6:Z6"/>
    <mergeCell ref="S7:T7"/>
    <mergeCell ref="V7:W7"/>
    <mergeCell ref="X7:Z7"/>
    <mergeCell ref="V8:W8"/>
    <mergeCell ref="X8:Z8"/>
    <mergeCell ref="M36:N36"/>
    <mergeCell ref="O36:Q36"/>
    <mergeCell ref="S1:AA2"/>
    <mergeCell ref="V3:W4"/>
    <mergeCell ref="X3:Z4"/>
    <mergeCell ref="S5:T5"/>
    <mergeCell ref="V5:W5"/>
    <mergeCell ref="X5:Z5"/>
    <mergeCell ref="AA5:AA14"/>
    <mergeCell ref="V6:W6"/>
    <mergeCell ref="M33:N33"/>
    <mergeCell ref="O33:Q33"/>
    <mergeCell ref="M34:N34"/>
    <mergeCell ref="O34:Q34"/>
    <mergeCell ref="M35:N35"/>
    <mergeCell ref="O35:Q35"/>
    <mergeCell ref="M30:N30"/>
    <mergeCell ref="O30:Q30"/>
    <mergeCell ref="V12:W12"/>
    <mergeCell ref="X12:Z12"/>
    <mergeCell ref="S13:T13"/>
    <mergeCell ref="V13:W13"/>
    <mergeCell ref="X13:Z13"/>
    <mergeCell ref="V14:W14"/>
    <mergeCell ref="X14:Z14"/>
    <mergeCell ref="S9:T9"/>
    <mergeCell ref="V9:W9"/>
    <mergeCell ref="X9:Z9"/>
    <mergeCell ref="V10:W10"/>
    <mergeCell ref="X10:Z10"/>
    <mergeCell ref="S11:T11"/>
    <mergeCell ref="V11:W11"/>
    <mergeCell ref="X11:Z11"/>
    <mergeCell ref="S16:T16"/>
    <mergeCell ref="V16:W16"/>
    <mergeCell ref="X16:Z16"/>
    <mergeCell ref="AA16:AA19"/>
    <mergeCell ref="V17:W17"/>
    <mergeCell ref="X17:Z17"/>
    <mergeCell ref="S18:T18"/>
    <mergeCell ref="V18:W18"/>
    <mergeCell ref="X18:Z18"/>
    <mergeCell ref="V19:W19"/>
    <mergeCell ref="V24:W24"/>
    <mergeCell ref="X24:Z24"/>
    <mergeCell ref="V25:W25"/>
    <mergeCell ref="X25:Z25"/>
    <mergeCell ref="V26:W26"/>
    <mergeCell ref="X26:Z26"/>
    <mergeCell ref="X19:Z19"/>
    <mergeCell ref="S21:T21"/>
    <mergeCell ref="V21:W21"/>
    <mergeCell ref="X21:Z21"/>
    <mergeCell ref="V22:W22"/>
    <mergeCell ref="X22:Z22"/>
    <mergeCell ref="V23:W23"/>
    <mergeCell ref="X23:Z23"/>
    <mergeCell ref="S24:T24"/>
    <mergeCell ref="S30:T30"/>
    <mergeCell ref="V30:W30"/>
    <mergeCell ref="X30:Z30"/>
    <mergeCell ref="V31:W31"/>
    <mergeCell ref="X31:Z31"/>
    <mergeCell ref="S32:T32"/>
    <mergeCell ref="V32:W32"/>
    <mergeCell ref="X32:Z32"/>
    <mergeCell ref="S27:T27"/>
    <mergeCell ref="V27:W27"/>
    <mergeCell ref="X27:Z27"/>
    <mergeCell ref="V28:W28"/>
    <mergeCell ref="X28:Z28"/>
    <mergeCell ref="V29:W29"/>
    <mergeCell ref="X29:Z29"/>
    <mergeCell ref="V36:W36"/>
    <mergeCell ref="X36:Z36"/>
    <mergeCell ref="A41:I42"/>
    <mergeCell ref="J41:R42"/>
    <mergeCell ref="S41:AA42"/>
    <mergeCell ref="V33:W33"/>
    <mergeCell ref="X33:Z33"/>
    <mergeCell ref="V34:W34"/>
    <mergeCell ref="X34:Z34"/>
    <mergeCell ref="S35:T35"/>
    <mergeCell ref="V35:W35"/>
    <mergeCell ref="X35:Z35"/>
    <mergeCell ref="AA21:AA36"/>
    <mergeCell ref="J35:K35"/>
    <mergeCell ref="J30:K30"/>
    <mergeCell ref="M31:N31"/>
    <mergeCell ref="O31:Q31"/>
    <mergeCell ref="J32:K32"/>
    <mergeCell ref="M32:N32"/>
    <mergeCell ref="O32:Q32"/>
    <mergeCell ref="J27:K27"/>
    <mergeCell ref="M27:N27"/>
    <mergeCell ref="O27:Q27"/>
    <mergeCell ref="M28:N28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BC05F-D190-4C23-B1E3-7C972F3F5D36}">
  <dimension ref="A1:L46"/>
  <sheetViews>
    <sheetView tabSelected="1" topLeftCell="A31" workbookViewId="0">
      <selection activeCell="B44" sqref="B44"/>
    </sheetView>
  </sheetViews>
  <sheetFormatPr defaultRowHeight="15.75" x14ac:dyDescent="0.25"/>
  <cols>
    <col min="1" max="1" width="12.5" bestFit="1" customWidth="1"/>
    <col min="2" max="2" width="12.5" customWidth="1"/>
    <col min="4" max="4" width="12.875" customWidth="1"/>
    <col min="5" max="5" width="14.625" customWidth="1"/>
    <col min="6" max="6" width="16" customWidth="1"/>
    <col min="7" max="7" width="14.75" customWidth="1"/>
  </cols>
  <sheetData>
    <row r="1" spans="1:12" ht="15.75" customHeight="1" x14ac:dyDescent="0.25">
      <c r="A1" s="149" t="s">
        <v>55</v>
      </c>
      <c r="B1" s="149"/>
      <c r="C1" s="149"/>
      <c r="D1" s="149"/>
      <c r="E1" s="149"/>
      <c r="F1" s="149"/>
      <c r="G1" s="54"/>
      <c r="H1" s="54"/>
      <c r="I1" s="54"/>
      <c r="J1" s="54"/>
      <c r="K1" s="54"/>
      <c r="L1" s="54"/>
    </row>
    <row r="2" spans="1:12" ht="15.75" customHeight="1" x14ac:dyDescent="0.25">
      <c r="A2" s="149"/>
      <c r="B2" s="149"/>
      <c r="C2" s="149"/>
      <c r="D2" s="149"/>
      <c r="E2" s="149"/>
      <c r="F2" s="149"/>
      <c r="G2" s="54"/>
      <c r="H2" s="54"/>
      <c r="I2" s="54"/>
      <c r="J2" s="54"/>
      <c r="K2" s="54"/>
      <c r="L2" s="54"/>
    </row>
    <row r="4" spans="1:12" ht="34.5" customHeight="1" x14ac:dyDescent="0.25">
      <c r="A4" s="2"/>
      <c r="B4" s="2"/>
      <c r="C4" s="2"/>
      <c r="D4" s="146" t="s">
        <v>30</v>
      </c>
      <c r="E4" s="146" t="s">
        <v>35</v>
      </c>
    </row>
    <row r="5" spans="1:12" ht="15.75" customHeight="1" thickBot="1" x14ac:dyDescent="0.3">
      <c r="A5" s="14" t="s">
        <v>2</v>
      </c>
      <c r="B5" s="14" t="s">
        <v>3</v>
      </c>
      <c r="C5" s="15" t="s">
        <v>18</v>
      </c>
      <c r="D5" s="147"/>
      <c r="E5" s="147"/>
    </row>
    <row r="6" spans="1:12" ht="16.5" x14ac:dyDescent="0.25">
      <c r="A6" s="148" t="s">
        <v>13</v>
      </c>
      <c r="B6" s="148"/>
      <c r="C6" s="55" t="s">
        <v>21</v>
      </c>
      <c r="D6" s="60">
        <v>2495</v>
      </c>
      <c r="E6" s="61">
        <f>D6*1.27</f>
        <v>3168.65</v>
      </c>
      <c r="F6" s="150" t="s">
        <v>56</v>
      </c>
    </row>
    <row r="7" spans="1:12" x14ac:dyDescent="0.25">
      <c r="A7" s="56" t="s">
        <v>5</v>
      </c>
      <c r="B7" s="56" t="s">
        <v>27</v>
      </c>
      <c r="C7" s="55" t="s">
        <v>19</v>
      </c>
      <c r="D7" s="60">
        <v>2795</v>
      </c>
      <c r="E7" s="61">
        <f t="shared" ref="E7:E17" si="0">D7*1.27</f>
        <v>3549.65</v>
      </c>
      <c r="F7" s="151"/>
    </row>
    <row r="8" spans="1:12" ht="16.5" thickBot="1" x14ac:dyDescent="0.3">
      <c r="A8" s="57"/>
      <c r="B8" s="57"/>
      <c r="C8" s="58" t="s">
        <v>20</v>
      </c>
      <c r="D8" s="62">
        <v>3125</v>
      </c>
      <c r="E8" s="65">
        <f t="shared" si="0"/>
        <v>3968.75</v>
      </c>
      <c r="F8" s="151"/>
    </row>
    <row r="9" spans="1:12" ht="16.5" x14ac:dyDescent="0.25">
      <c r="A9" s="145" t="s">
        <v>58</v>
      </c>
      <c r="B9" s="145"/>
      <c r="C9" s="59" t="s">
        <v>21</v>
      </c>
      <c r="D9" s="60">
        <v>2495</v>
      </c>
      <c r="E9" s="64">
        <f t="shared" si="0"/>
        <v>3168.65</v>
      </c>
      <c r="F9" s="151"/>
    </row>
    <row r="10" spans="1:12" ht="16.5" thickBot="1" x14ac:dyDescent="0.3">
      <c r="A10" s="57" t="s">
        <v>39</v>
      </c>
      <c r="B10" s="57" t="s">
        <v>40</v>
      </c>
      <c r="C10" s="58" t="s">
        <v>19</v>
      </c>
      <c r="D10" s="62">
        <v>2795</v>
      </c>
      <c r="E10" s="65">
        <f t="shared" si="0"/>
        <v>3549.65</v>
      </c>
      <c r="F10" s="151"/>
    </row>
    <row r="11" spans="1:12" ht="16.5" x14ac:dyDescent="0.25">
      <c r="A11" s="145" t="s">
        <v>59</v>
      </c>
      <c r="B11" s="145"/>
      <c r="C11" s="59" t="s">
        <v>20</v>
      </c>
      <c r="D11" s="63">
        <v>3125</v>
      </c>
      <c r="E11" s="64">
        <f t="shared" si="0"/>
        <v>3968.75</v>
      </c>
      <c r="F11" s="151"/>
    </row>
    <row r="12" spans="1:12" ht="16.5" thickBot="1" x14ac:dyDescent="0.3">
      <c r="A12" s="57" t="s">
        <v>38</v>
      </c>
      <c r="B12" s="57" t="s">
        <v>6</v>
      </c>
      <c r="C12" s="57" t="s">
        <v>47</v>
      </c>
      <c r="D12" s="82" t="s">
        <v>47</v>
      </c>
      <c r="E12" s="65" t="s">
        <v>47</v>
      </c>
      <c r="F12" s="151"/>
    </row>
    <row r="13" spans="1:12" ht="16.5" x14ac:dyDescent="0.25">
      <c r="A13" s="145" t="s">
        <v>52</v>
      </c>
      <c r="B13" s="145"/>
      <c r="C13" s="79" t="s">
        <v>47</v>
      </c>
      <c r="D13" s="63" t="s">
        <v>47</v>
      </c>
      <c r="E13" s="64" t="s">
        <v>47</v>
      </c>
      <c r="F13" s="151"/>
    </row>
    <row r="14" spans="1:12" ht="16.5" thickBot="1" x14ac:dyDescent="0.3">
      <c r="A14" s="57" t="s">
        <v>6</v>
      </c>
      <c r="B14" s="57" t="s">
        <v>43</v>
      </c>
      <c r="C14" s="58" t="s">
        <v>19</v>
      </c>
      <c r="D14" s="62">
        <v>3110</v>
      </c>
      <c r="E14" s="65">
        <f t="shared" si="0"/>
        <v>3949.7000000000003</v>
      </c>
      <c r="F14" s="151"/>
    </row>
    <row r="15" spans="1:12" ht="16.5" x14ac:dyDescent="0.25">
      <c r="A15" s="145" t="s">
        <v>53</v>
      </c>
      <c r="B15" s="145"/>
      <c r="C15" s="59" t="s">
        <v>19</v>
      </c>
      <c r="D15" s="63">
        <v>2805</v>
      </c>
      <c r="E15" s="64">
        <f t="shared" si="0"/>
        <v>3562.35</v>
      </c>
      <c r="F15" s="151"/>
    </row>
    <row r="16" spans="1:12" ht="16.5" thickBot="1" x14ac:dyDescent="0.3">
      <c r="A16" s="57" t="s">
        <v>41</v>
      </c>
      <c r="B16" s="57" t="s">
        <v>43</v>
      </c>
      <c r="C16" s="58" t="s">
        <v>20</v>
      </c>
      <c r="D16" s="62">
        <v>3110</v>
      </c>
      <c r="E16" s="65">
        <f t="shared" si="0"/>
        <v>3949.7000000000003</v>
      </c>
      <c r="F16" s="151"/>
    </row>
    <row r="17" spans="1:6" ht="16.5" x14ac:dyDescent="0.25">
      <c r="A17" s="145" t="s">
        <v>54</v>
      </c>
      <c r="B17" s="145"/>
      <c r="C17" s="59" t="s">
        <v>20</v>
      </c>
      <c r="D17" s="63">
        <v>3110</v>
      </c>
      <c r="E17" s="64">
        <f t="shared" si="0"/>
        <v>3949.7000000000003</v>
      </c>
      <c r="F17" s="151"/>
    </row>
    <row r="18" spans="1:6" ht="16.5" thickBot="1" x14ac:dyDescent="0.3">
      <c r="A18" s="56" t="s">
        <v>40</v>
      </c>
      <c r="B18" s="56" t="s">
        <v>60</v>
      </c>
      <c r="C18" s="57" t="s">
        <v>47</v>
      </c>
      <c r="D18" s="62" t="s">
        <v>47</v>
      </c>
      <c r="E18" s="65" t="s">
        <v>47</v>
      </c>
      <c r="F18" s="152"/>
    </row>
    <row r="19" spans="1:6" ht="16.5" thickBot="1" x14ac:dyDescent="0.3">
      <c r="D19" s="1"/>
      <c r="E19" s="1"/>
    </row>
    <row r="20" spans="1:6" ht="16.5" customHeight="1" x14ac:dyDescent="0.25">
      <c r="A20" s="148" t="s">
        <v>13</v>
      </c>
      <c r="B20" s="148"/>
      <c r="C20" s="55" t="s">
        <v>19</v>
      </c>
      <c r="D20" s="60">
        <v>3325</v>
      </c>
      <c r="E20" s="61">
        <f>D20*1.27</f>
        <v>4222.75</v>
      </c>
      <c r="F20" s="150" t="s">
        <v>57</v>
      </c>
    </row>
    <row r="21" spans="1:6" ht="16.5" thickBot="1" x14ac:dyDescent="0.3">
      <c r="A21" s="57" t="s">
        <v>5</v>
      </c>
      <c r="B21" s="57" t="s">
        <v>27</v>
      </c>
      <c r="C21" s="57" t="s">
        <v>47</v>
      </c>
      <c r="D21" s="62" t="s">
        <v>47</v>
      </c>
      <c r="E21" s="65" t="s">
        <v>47</v>
      </c>
      <c r="F21" s="151"/>
    </row>
    <row r="22" spans="1:6" ht="16.5" x14ac:dyDescent="0.25">
      <c r="A22" s="145" t="s">
        <v>58</v>
      </c>
      <c r="B22" s="145"/>
      <c r="C22" s="59" t="s">
        <v>19</v>
      </c>
      <c r="D22" s="63">
        <v>3325</v>
      </c>
      <c r="E22" s="64">
        <v>4140</v>
      </c>
      <c r="F22" s="151"/>
    </row>
    <row r="23" spans="1:6" ht="16.5" thickBot="1" x14ac:dyDescent="0.3">
      <c r="A23" s="57" t="s">
        <v>39</v>
      </c>
      <c r="B23" s="57" t="s">
        <v>40</v>
      </c>
      <c r="C23" s="57" t="s">
        <v>47</v>
      </c>
      <c r="D23" s="62" t="s">
        <v>47</v>
      </c>
      <c r="E23" s="65" t="s">
        <v>47</v>
      </c>
      <c r="F23" s="151"/>
    </row>
    <row r="24" spans="1:6" ht="16.5" x14ac:dyDescent="0.25">
      <c r="A24" s="145" t="s">
        <v>52</v>
      </c>
      <c r="B24" s="145"/>
      <c r="C24" s="55" t="s">
        <v>19</v>
      </c>
      <c r="D24" s="63">
        <v>3325</v>
      </c>
      <c r="E24" s="64">
        <v>4140</v>
      </c>
      <c r="F24" s="151"/>
    </row>
    <row r="25" spans="1:6" ht="16.5" thickBot="1" x14ac:dyDescent="0.3">
      <c r="A25" s="57" t="s">
        <v>6</v>
      </c>
      <c r="B25" s="57" t="s">
        <v>43</v>
      </c>
      <c r="C25" s="57" t="s">
        <v>47</v>
      </c>
      <c r="D25" s="62" t="s">
        <v>47</v>
      </c>
      <c r="E25" s="81" t="s">
        <v>47</v>
      </c>
      <c r="F25" s="151"/>
    </row>
    <row r="26" spans="1:6" ht="16.5" x14ac:dyDescent="0.25">
      <c r="A26" s="145" t="s">
        <v>53</v>
      </c>
      <c r="B26" s="145"/>
      <c r="C26" s="55" t="s">
        <v>19</v>
      </c>
      <c r="D26" s="63">
        <v>3325</v>
      </c>
      <c r="E26" s="64">
        <v>4140</v>
      </c>
      <c r="F26" s="151"/>
    </row>
    <row r="27" spans="1:6" ht="16.5" thickBot="1" x14ac:dyDescent="0.3">
      <c r="A27" s="57" t="s">
        <v>41</v>
      </c>
      <c r="B27" s="57" t="s">
        <v>43</v>
      </c>
      <c r="C27" s="57" t="s">
        <v>47</v>
      </c>
      <c r="D27" s="62" t="s">
        <v>47</v>
      </c>
      <c r="E27" s="65" t="s">
        <v>47</v>
      </c>
      <c r="F27" s="151"/>
    </row>
    <row r="28" spans="1:6" ht="16.5" x14ac:dyDescent="0.25">
      <c r="A28" s="145" t="s">
        <v>54</v>
      </c>
      <c r="B28" s="145"/>
      <c r="C28" s="55" t="s">
        <v>19</v>
      </c>
      <c r="D28" s="63">
        <v>3325</v>
      </c>
      <c r="E28" s="64">
        <v>4140</v>
      </c>
      <c r="F28" s="151"/>
    </row>
    <row r="29" spans="1:6" ht="16.5" thickBot="1" x14ac:dyDescent="0.3">
      <c r="A29" s="66" t="s">
        <v>40</v>
      </c>
      <c r="B29" s="66" t="s">
        <v>60</v>
      </c>
      <c r="C29" s="66" t="s">
        <v>47</v>
      </c>
      <c r="D29" s="67" t="s">
        <v>47</v>
      </c>
      <c r="E29" s="69" t="s">
        <v>47</v>
      </c>
      <c r="F29" s="152"/>
    </row>
    <row r="30" spans="1:6" x14ac:dyDescent="0.25">
      <c r="A30" s="3"/>
      <c r="B30" s="3"/>
      <c r="C30" s="3"/>
      <c r="D30" s="5"/>
      <c r="E30" s="5"/>
      <c r="F30" s="68"/>
    </row>
    <row r="31" spans="1:6" ht="16.5" x14ac:dyDescent="0.25">
      <c r="A31" s="153"/>
      <c r="B31" s="153"/>
      <c r="C31" s="4"/>
      <c r="D31" s="13" t="s">
        <v>61</v>
      </c>
      <c r="E31" s="13" t="s">
        <v>62</v>
      </c>
      <c r="F31" s="72" t="s">
        <v>63</v>
      </c>
    </row>
    <row r="32" spans="1:6" ht="16.5" x14ac:dyDescent="0.25">
      <c r="A32" s="148" t="s">
        <v>13</v>
      </c>
      <c r="B32" s="148"/>
      <c r="C32" s="55" t="s">
        <v>19</v>
      </c>
      <c r="D32" s="70">
        <v>3890</v>
      </c>
      <c r="E32" s="71">
        <v>4250</v>
      </c>
      <c r="F32" s="80" t="s">
        <v>64</v>
      </c>
    </row>
    <row r="33" spans="1:6" ht="16.5" thickBot="1" x14ac:dyDescent="0.3">
      <c r="A33" s="57" t="s">
        <v>5</v>
      </c>
      <c r="B33" s="57" t="s">
        <v>27</v>
      </c>
      <c r="C33" s="57" t="s">
        <v>47</v>
      </c>
      <c r="D33" s="62" t="s">
        <v>47</v>
      </c>
      <c r="E33" s="75" t="s">
        <v>47</v>
      </c>
      <c r="F33" s="73" t="s">
        <v>47</v>
      </c>
    </row>
    <row r="34" spans="1:6" ht="16.5" x14ac:dyDescent="0.25">
      <c r="A34" s="145" t="s">
        <v>58</v>
      </c>
      <c r="B34" s="145"/>
      <c r="C34" s="59" t="s">
        <v>19</v>
      </c>
      <c r="D34" s="70">
        <v>3890</v>
      </c>
      <c r="E34" s="71">
        <v>4250</v>
      </c>
      <c r="F34" s="80" t="s">
        <v>64</v>
      </c>
    </row>
    <row r="35" spans="1:6" ht="16.5" thickBot="1" x14ac:dyDescent="0.3">
      <c r="A35" s="57" t="s">
        <v>39</v>
      </c>
      <c r="B35" s="57" t="s">
        <v>39</v>
      </c>
      <c r="C35" s="57" t="s">
        <v>47</v>
      </c>
      <c r="D35" s="62" t="s">
        <v>47</v>
      </c>
      <c r="E35" s="73" t="s">
        <v>47</v>
      </c>
      <c r="F35" s="76" t="s">
        <v>47</v>
      </c>
    </row>
    <row r="36" spans="1:6" ht="16.5" x14ac:dyDescent="0.25">
      <c r="A36" s="145" t="s">
        <v>52</v>
      </c>
      <c r="B36" s="145"/>
      <c r="C36" s="55" t="s">
        <v>19</v>
      </c>
      <c r="D36" s="70">
        <v>3890</v>
      </c>
      <c r="E36" s="77">
        <v>4250</v>
      </c>
      <c r="F36" s="80" t="s">
        <v>64</v>
      </c>
    </row>
    <row r="37" spans="1:6" ht="16.5" thickBot="1" x14ac:dyDescent="0.3">
      <c r="A37" s="57" t="s">
        <v>6</v>
      </c>
      <c r="B37" s="57" t="s">
        <v>43</v>
      </c>
      <c r="C37" s="57" t="s">
        <v>47</v>
      </c>
      <c r="D37" s="62" t="s">
        <v>47</v>
      </c>
      <c r="E37" s="73" t="s">
        <v>47</v>
      </c>
      <c r="F37" s="76" t="s">
        <v>47</v>
      </c>
    </row>
    <row r="38" spans="1:6" ht="16.5" x14ac:dyDescent="0.25">
      <c r="A38" s="145" t="s">
        <v>53</v>
      </c>
      <c r="B38" s="145"/>
      <c r="C38" s="55" t="s">
        <v>19</v>
      </c>
      <c r="D38" s="70">
        <v>3890</v>
      </c>
      <c r="E38" s="71">
        <v>4250</v>
      </c>
      <c r="F38" s="80" t="s">
        <v>64</v>
      </c>
    </row>
    <row r="39" spans="1:6" ht="16.5" thickBot="1" x14ac:dyDescent="0.3">
      <c r="A39" s="57" t="s">
        <v>41</v>
      </c>
      <c r="B39" s="57" t="s">
        <v>43</v>
      </c>
      <c r="C39" s="57" t="s">
        <v>47</v>
      </c>
      <c r="D39" s="62" t="s">
        <v>47</v>
      </c>
      <c r="E39" s="73" t="s">
        <v>47</v>
      </c>
      <c r="F39" s="76" t="s">
        <v>47</v>
      </c>
    </row>
    <row r="40" spans="1:6" ht="16.5" x14ac:dyDescent="0.25">
      <c r="A40" s="145" t="s">
        <v>54</v>
      </c>
      <c r="B40" s="145"/>
      <c r="C40" s="55" t="s">
        <v>19</v>
      </c>
      <c r="D40" s="70">
        <v>3890</v>
      </c>
      <c r="E40" s="77">
        <v>4250</v>
      </c>
      <c r="F40" s="80" t="s">
        <v>64</v>
      </c>
    </row>
    <row r="41" spans="1:6" x14ac:dyDescent="0.25">
      <c r="A41" s="66" t="s">
        <v>40</v>
      </c>
      <c r="B41" s="66" t="s">
        <v>60</v>
      </c>
      <c r="C41" s="66" t="s">
        <v>47</v>
      </c>
      <c r="D41" s="67" t="s">
        <v>47</v>
      </c>
      <c r="E41" s="74" t="s">
        <v>47</v>
      </c>
      <c r="F41" s="78" t="s">
        <v>47</v>
      </c>
    </row>
    <row r="43" spans="1:6" ht="16.5" x14ac:dyDescent="0.3">
      <c r="A43" s="154" t="s">
        <v>65</v>
      </c>
      <c r="B43" t="s">
        <v>66</v>
      </c>
      <c r="C43" t="s">
        <v>70</v>
      </c>
    </row>
    <row r="44" spans="1:6" x14ac:dyDescent="0.25">
      <c r="B44" t="s">
        <v>67</v>
      </c>
    </row>
    <row r="45" spans="1:6" x14ac:dyDescent="0.25">
      <c r="B45" t="s">
        <v>68</v>
      </c>
    </row>
    <row r="46" spans="1:6" x14ac:dyDescent="0.25">
      <c r="B46" t="s">
        <v>69</v>
      </c>
    </row>
  </sheetData>
  <mergeCells count="22">
    <mergeCell ref="E4:E5"/>
    <mergeCell ref="A36:B36"/>
    <mergeCell ref="A34:B34"/>
    <mergeCell ref="A1:F2"/>
    <mergeCell ref="A40:B40"/>
    <mergeCell ref="F6:F18"/>
    <mergeCell ref="A11:B11"/>
    <mergeCell ref="F20:F29"/>
    <mergeCell ref="A22:B22"/>
    <mergeCell ref="A24:B24"/>
    <mergeCell ref="A20:B20"/>
    <mergeCell ref="A31:B31"/>
    <mergeCell ref="A26:B26"/>
    <mergeCell ref="A28:B28"/>
    <mergeCell ref="A17:B17"/>
    <mergeCell ref="A38:B38"/>
    <mergeCell ref="A13:B13"/>
    <mergeCell ref="A9:B9"/>
    <mergeCell ref="D4:D5"/>
    <mergeCell ref="A15:B15"/>
    <mergeCell ref="A6:B6"/>
    <mergeCell ref="A32:B32"/>
  </mergeCells>
  <pageMargins left="0.25" right="0.25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LENGYEL</vt:lpstr>
      <vt:lpstr>METÁL-SHEET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Felhasználó</dc:creator>
  <cp:lastModifiedBy>Felhasználó</cp:lastModifiedBy>
  <cp:lastPrinted>2026-02-10T11:46:35Z</cp:lastPrinted>
  <dcterms:created xsi:type="dcterms:W3CDTF">2025-01-14T07:57:32Z</dcterms:created>
  <dcterms:modified xsi:type="dcterms:W3CDTF">2026-02-10T11:47:19Z</dcterms:modified>
</cp:coreProperties>
</file>